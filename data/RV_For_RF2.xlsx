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elhoyo\PhD\Study cases\Genissiat\RV Characterization\Excel (from access)\"/>
    </mc:Choice>
  </mc:AlternateContent>
  <xr:revisionPtr revIDLastSave="0" documentId="8_{050C8D74-DEB6-49EF-B264-174263FE351A}" xr6:coauthVersionLast="47" xr6:coauthVersionMax="47" xr10:uidLastSave="{00000000-0000-0000-0000-000000000000}"/>
  <bookViews>
    <workbookView xWindow="-108" yWindow="-108" windowWidth="23256" windowHeight="12576" xr2:uid="{355A58BB-34D1-44B0-836B-DE6816E801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9" i="1" l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<sst xmlns="http://schemas.openxmlformats.org/spreadsheetml/2006/main" count="470" uniqueCount="170">
  <si>
    <t>Id_Data</t>
  </si>
  <si>
    <t>Id_Place</t>
  </si>
  <si>
    <t>Basin</t>
  </si>
  <si>
    <t>Sub_Basin</t>
  </si>
  <si>
    <t>Stand_Code</t>
  </si>
  <si>
    <t>Bank</t>
  </si>
  <si>
    <t>Cod_Plg</t>
  </si>
  <si>
    <t>LW_Presence</t>
  </si>
  <si>
    <t>Dead_Wood</t>
  </si>
  <si>
    <t>Standing_Dead_Trees</t>
  </si>
  <si>
    <t>Regeneration</t>
  </si>
  <si>
    <t>Basal_Area (m2/ha)</t>
  </si>
  <si>
    <t>Sinuosity</t>
  </si>
  <si>
    <t>Width_Mean</t>
  </si>
  <si>
    <t>Lat_Connectivity</t>
  </si>
  <si>
    <t>Gradient (%)</t>
  </si>
  <si>
    <t>SPI / Width</t>
  </si>
  <si>
    <t>SPI</t>
  </si>
  <si>
    <t>Lentgh (m)</t>
  </si>
  <si>
    <t>P50_Height</t>
  </si>
  <si>
    <t>Height_IQR</t>
  </si>
  <si>
    <t>HardWood_Ab</t>
  </si>
  <si>
    <t>SoftWood_Ab</t>
  </si>
  <si>
    <t>Pioneers_Ab</t>
  </si>
  <si>
    <t>Shrubs_Ab</t>
  </si>
  <si>
    <t>Brambles_Ab</t>
  </si>
  <si>
    <t>Invasive_Ab</t>
  </si>
  <si>
    <t>MaxDiamClass</t>
  </si>
  <si>
    <t>DiamComplex</t>
  </si>
  <si>
    <t>StructuralIndex</t>
  </si>
  <si>
    <t>Arve</t>
  </si>
  <si>
    <t>A-A1</t>
  </si>
  <si>
    <t xml:space="preserve">Left </t>
  </si>
  <si>
    <t>A-A1-Left</t>
  </si>
  <si>
    <t xml:space="preserve">Right </t>
  </si>
  <si>
    <t>A-A1-Right</t>
  </si>
  <si>
    <t>A-A2</t>
  </si>
  <si>
    <t>A-A2-Left</t>
  </si>
  <si>
    <t>A-A2-Right</t>
  </si>
  <si>
    <t>A-A3</t>
  </si>
  <si>
    <t>A-A3-Left</t>
  </si>
  <si>
    <t>A-A3-Right</t>
  </si>
  <si>
    <t>A-A4</t>
  </si>
  <si>
    <t>A-A4-Left</t>
  </si>
  <si>
    <t>A-A4-Right</t>
  </si>
  <si>
    <t>A-A5</t>
  </si>
  <si>
    <t>A-A5-Left</t>
  </si>
  <si>
    <t>A-A5-Right</t>
  </si>
  <si>
    <t>A-A6</t>
  </si>
  <si>
    <t>A-A6-Left</t>
  </si>
  <si>
    <t>A-A6-Right</t>
  </si>
  <si>
    <t>A-A7</t>
  </si>
  <si>
    <t>A-A7-Left</t>
  </si>
  <si>
    <t>A-A7-Right</t>
  </si>
  <si>
    <t>A-A8</t>
  </si>
  <si>
    <t>A-A8-Left</t>
  </si>
  <si>
    <t>A-A8-Right</t>
  </si>
  <si>
    <t>A-A9</t>
  </si>
  <si>
    <t>A-A9-Left</t>
  </si>
  <si>
    <t>A-A9-Right</t>
  </si>
  <si>
    <t>A-A10</t>
  </si>
  <si>
    <t>A-A10-Left</t>
  </si>
  <si>
    <t>A-A10-Right</t>
  </si>
  <si>
    <t>A-A11</t>
  </si>
  <si>
    <t>A-A11-Left</t>
  </si>
  <si>
    <t>A-A11-Right</t>
  </si>
  <si>
    <t>A-A12</t>
  </si>
  <si>
    <t>A-A12-Left</t>
  </si>
  <si>
    <t>A-A12-Right</t>
  </si>
  <si>
    <t>A-A13</t>
  </si>
  <si>
    <t>A-A13-Left</t>
  </si>
  <si>
    <t>A-A13-Right</t>
  </si>
  <si>
    <t>A-A14</t>
  </si>
  <si>
    <t>A-A14-Left</t>
  </si>
  <si>
    <t>A-A14-Right</t>
  </si>
  <si>
    <t>A-A15</t>
  </si>
  <si>
    <t>A-A15-Left</t>
  </si>
  <si>
    <t>A-A15-Right</t>
  </si>
  <si>
    <t>A-A16</t>
  </si>
  <si>
    <t>A-A16-Left</t>
  </si>
  <si>
    <t>A-A16-Right</t>
  </si>
  <si>
    <t>A-A17</t>
  </si>
  <si>
    <t>A-A17-Left</t>
  </si>
  <si>
    <t>A-A17-Right</t>
  </si>
  <si>
    <t>Giffre</t>
  </si>
  <si>
    <t>A-G1</t>
  </si>
  <si>
    <t>A-G1-Left</t>
  </si>
  <si>
    <t>A-G1-Right</t>
  </si>
  <si>
    <t>A-G2</t>
  </si>
  <si>
    <t>A-G2-Left</t>
  </si>
  <si>
    <t>A-G2-Right</t>
  </si>
  <si>
    <t>A-G3</t>
  </si>
  <si>
    <t>A-G3-Left</t>
  </si>
  <si>
    <t>A-G3-Right</t>
  </si>
  <si>
    <t>A-G4</t>
  </si>
  <si>
    <t>A-G4-Left</t>
  </si>
  <si>
    <t>A-G4-Right</t>
  </si>
  <si>
    <t>A-G5</t>
  </si>
  <si>
    <t>A-G5-Left</t>
  </si>
  <si>
    <t>A-G5-Right</t>
  </si>
  <si>
    <t>A-G6</t>
  </si>
  <si>
    <t>A-G6-Left</t>
  </si>
  <si>
    <t>A-G6-Right</t>
  </si>
  <si>
    <t>A-G7</t>
  </si>
  <si>
    <t>A-G7-Left</t>
  </si>
  <si>
    <t>A-G7-Right</t>
  </si>
  <si>
    <t>A-G8</t>
  </si>
  <si>
    <t>A-G8-Left</t>
  </si>
  <si>
    <t>A-G8-Right</t>
  </si>
  <si>
    <t>Menoge</t>
  </si>
  <si>
    <t>A-M1</t>
  </si>
  <si>
    <t>A-M1-Left</t>
  </si>
  <si>
    <t>A-M1-Right</t>
  </si>
  <si>
    <t>A-M2</t>
  </si>
  <si>
    <t>A-M2-Left</t>
  </si>
  <si>
    <t>A-M2-Right</t>
  </si>
  <si>
    <t>A-M3</t>
  </si>
  <si>
    <t>A-M3-Left</t>
  </si>
  <si>
    <t>A-M3-Right</t>
  </si>
  <si>
    <t>Valserine</t>
  </si>
  <si>
    <t>V-V1</t>
  </si>
  <si>
    <t>V-V1-Left</t>
  </si>
  <si>
    <t>V-V1-Right</t>
  </si>
  <si>
    <t>V-V2</t>
  </si>
  <si>
    <t>V-V2-Left</t>
  </si>
  <si>
    <t>V-V2-Right</t>
  </si>
  <si>
    <t>V-V3</t>
  </si>
  <si>
    <t>V-V3-Left</t>
  </si>
  <si>
    <t>V-V3-Right</t>
  </si>
  <si>
    <t>V-V4</t>
  </si>
  <si>
    <t>V-V4-Left</t>
  </si>
  <si>
    <t>V-V4-Right</t>
  </si>
  <si>
    <t>V-V5</t>
  </si>
  <si>
    <t>V-V5-Left</t>
  </si>
  <si>
    <t>V-V5-Right</t>
  </si>
  <si>
    <t>V-V6</t>
  </si>
  <si>
    <t>V-V6-Left</t>
  </si>
  <si>
    <t>V-V6-Right</t>
  </si>
  <si>
    <t>V-V7</t>
  </si>
  <si>
    <t>V-V7-Left</t>
  </si>
  <si>
    <t>V-V7-Right</t>
  </si>
  <si>
    <t>Semine</t>
  </si>
  <si>
    <t>V-S1</t>
  </si>
  <si>
    <t>V-S1-Left</t>
  </si>
  <si>
    <t>V-S1-Right</t>
  </si>
  <si>
    <t>V-S2</t>
  </si>
  <si>
    <t>V-S2-Left</t>
  </si>
  <si>
    <t>V-S2-Right</t>
  </si>
  <si>
    <t>V-S3</t>
  </si>
  <si>
    <t>V-S3-Left</t>
  </si>
  <si>
    <t>V-S3-Right</t>
  </si>
  <si>
    <t>V-S4</t>
  </si>
  <si>
    <t>V-S4-Left</t>
  </si>
  <si>
    <t>V-S4-Right</t>
  </si>
  <si>
    <t>Rhone</t>
  </si>
  <si>
    <t>R-1</t>
  </si>
  <si>
    <t>R1-Left</t>
  </si>
  <si>
    <t>R1-Right</t>
  </si>
  <si>
    <t>R-2</t>
  </si>
  <si>
    <t>R2-Left</t>
  </si>
  <si>
    <t>R2-Right</t>
  </si>
  <si>
    <t>R-3</t>
  </si>
  <si>
    <t>R3-Left</t>
  </si>
  <si>
    <t>R3-Right</t>
  </si>
  <si>
    <t>R-4</t>
  </si>
  <si>
    <t>R4-Left</t>
  </si>
  <si>
    <t>R4-Right</t>
  </si>
  <si>
    <t>R-5</t>
  </si>
  <si>
    <t>R5-Left</t>
  </si>
  <si>
    <t>R5-Right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</si>
</sst>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 vertical="top"/>
    </xf>
    <xf numFmtId="0" fontId="2" fillId="8" borderId="1" xfId="0" applyFont="1" applyFill="1" applyBorder="1" applyAlignment="1">
      <alignment horizontal="center" vertical="top"/>
    </xf>
    <xf numFmtId="0" fontId="2" fillId="9" borderId="1" xfId="0" applyFont="1" applyFill="1" applyBorder="1" applyAlignment="1">
      <alignment horizontal="center" vertical="top"/>
    </xf>
    <xf numFmtId="0" fontId="2" fillId="10" borderId="1" xfId="0" applyFont="1" applyFill="1" applyBorder="1" applyAlignment="1">
      <alignment horizontal="center" vertical="top"/>
    </xf>
    <xf numFmtId="0" fontId="2" fillId="11" borderId="1" xfId="0" applyFont="1" applyFill="1" applyBorder="1" applyAlignment="1">
      <alignment horizontal="center" vertical="top"/>
    </xf>
    <xf numFmtId="0" fontId="1" fillId="12" borderId="1" xfId="0" applyFont="1" applyFill="1" applyBorder="1" applyAlignment="1">
      <alignment horizontal="center" vertical="top"/>
    </xf>
    <xf numFmtId="0" fontId="0" fillId="13" borderId="0" xfId="0" applyFill="1"/>
    <xf numFmtId="164" fontId="0" fillId="13" borderId="0" xfId="0" applyNumberFormat="1" applyFill="1"/>
    <xf numFmtId="2" fontId="0" fillId="13" borderId="0" xfId="0" applyNumberFormat="1" applyFill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D90E5-B1E5-4B4B-9C6F-F555EE5AC817}">
  <dimension ref="A1:AD89"/>
  <sheetViews>
    <sheetView tabSelected="1" workbookViewId="0">
      <selection sqref="A1:XFD1048576"/>
    </sheetView>
  </sheetViews>
  <sheetFormatPr defaultRowHeight="14.4" x14ac:dyDescent="0.3"/>
  <cols>
    <col min="8" max="8" width="17.44140625" bestFit="1" customWidth="1"/>
    <col min="9" max="9" width="15.21875" bestFit="1" customWidth="1"/>
    <col min="10" max="10" width="27.33203125" bestFit="1" customWidth="1"/>
    <col min="11" max="11" width="17.109375" bestFit="1" customWidth="1"/>
    <col min="12" max="12" width="24.109375" bestFit="1" customWidth="1"/>
    <col min="13" max="13" width="12" bestFit="1" customWidth="1"/>
    <col min="14" max="14" width="15.44140625" style="18" bestFit="1" customWidth="1"/>
    <col min="15" max="15" width="20.88671875" bestFit="1" customWidth="1"/>
    <col min="16" max="16" width="17.33203125" bestFit="1" customWidth="1"/>
    <col min="17" max="18" width="23.6640625" style="18" customWidth="1"/>
    <col min="19" max="19" width="13.6640625" bestFit="1" customWidth="1"/>
    <col min="20" max="20" width="14.88671875" bestFit="1" customWidth="1"/>
    <col min="21" max="21" width="14.44140625" bestFit="1" customWidth="1"/>
    <col min="22" max="22" width="17.88671875" bestFit="1" customWidth="1"/>
    <col min="23" max="23" width="17.33203125" bestFit="1" customWidth="1"/>
    <col min="24" max="24" width="11.21875" bestFit="1" customWidth="1"/>
    <col min="28" max="28" width="17.88671875" bestFit="1" customWidth="1"/>
    <col min="29" max="29" width="16.88671875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6" t="s">
        <v>12</v>
      </c>
      <c r="N1" s="6" t="s">
        <v>13</v>
      </c>
      <c r="O1" s="7" t="s">
        <v>14</v>
      </c>
      <c r="P1" s="8" t="s">
        <v>15</v>
      </c>
      <c r="Q1" s="8" t="s">
        <v>16</v>
      </c>
      <c r="R1" s="8" t="s">
        <v>17</v>
      </c>
      <c r="S1" s="9" t="s">
        <v>18</v>
      </c>
      <c r="T1" s="10" t="s">
        <v>19</v>
      </c>
      <c r="U1" s="10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2" t="s">
        <v>27</v>
      </c>
      <c r="AC1" s="12" t="s">
        <v>28</v>
      </c>
      <c r="AD1" s="12" t="s">
        <v>29</v>
      </c>
    </row>
    <row r="2" spans="1:30" s="13" customFormat="1" x14ac:dyDescent="0.3">
      <c r="A2" s="13">
        <v>1</v>
      </c>
      <c r="B2" s="13">
        <v>1</v>
      </c>
      <c r="C2" s="13" t="s">
        <v>30</v>
      </c>
      <c r="D2" s="13" t="s">
        <v>30</v>
      </c>
      <c r="E2" s="13" t="s">
        <v>31</v>
      </c>
      <c r="F2" s="13" t="s">
        <v>32</v>
      </c>
      <c r="G2" s="13" t="s">
        <v>33</v>
      </c>
      <c r="H2" s="13">
        <v>2</v>
      </c>
      <c r="I2" s="13">
        <v>2</v>
      </c>
      <c r="J2" s="13">
        <v>1</v>
      </c>
      <c r="K2" s="13">
        <v>2</v>
      </c>
      <c r="L2" s="13">
        <v>18</v>
      </c>
      <c r="M2" s="13">
        <v>1.073</v>
      </c>
      <c r="N2" s="14">
        <v>12.3727</v>
      </c>
      <c r="O2" s="13">
        <v>2</v>
      </c>
      <c r="P2" s="15">
        <v>3.5631804684922468</v>
      </c>
      <c r="Q2" s="14">
        <v>31.252657437775181</v>
      </c>
      <c r="R2" s="14">
        <f>+Q2*N2</f>
        <v>386.67975468036099</v>
      </c>
      <c r="S2" s="13">
        <v>6062</v>
      </c>
      <c r="T2" s="13">
        <v>18</v>
      </c>
      <c r="U2" s="13">
        <v>10.399999999999999</v>
      </c>
      <c r="V2" s="13">
        <v>1</v>
      </c>
      <c r="W2" s="13">
        <v>3</v>
      </c>
      <c r="X2" s="13">
        <v>1</v>
      </c>
      <c r="Y2" s="13">
        <v>0</v>
      </c>
      <c r="Z2" s="13">
        <v>0</v>
      </c>
      <c r="AA2" s="13">
        <v>2</v>
      </c>
      <c r="AB2">
        <v>3</v>
      </c>
      <c r="AC2">
        <v>3</v>
      </c>
      <c r="AD2">
        <v>0.8569734912449154</v>
      </c>
    </row>
    <row r="3" spans="1:30" x14ac:dyDescent="0.3">
      <c r="A3" s="13">
        <v>2</v>
      </c>
      <c r="B3" s="13">
        <v>1</v>
      </c>
      <c r="C3" s="13" t="s">
        <v>30</v>
      </c>
      <c r="D3" s="13" t="s">
        <v>30</v>
      </c>
      <c r="E3" s="13" t="s">
        <v>31</v>
      </c>
      <c r="F3" s="13" t="s">
        <v>34</v>
      </c>
      <c r="G3" s="13" t="s">
        <v>35</v>
      </c>
      <c r="H3" s="13">
        <v>2</v>
      </c>
      <c r="I3" s="13">
        <v>3</v>
      </c>
      <c r="J3" s="13">
        <v>3</v>
      </c>
      <c r="K3" s="13">
        <v>3</v>
      </c>
      <c r="L3" s="13">
        <v>27</v>
      </c>
      <c r="M3" s="13">
        <v>1.073</v>
      </c>
      <c r="N3" s="14">
        <v>12.3727</v>
      </c>
      <c r="O3" s="13">
        <v>4</v>
      </c>
      <c r="P3" s="15">
        <v>3.5631804684922468</v>
      </c>
      <c r="Q3" s="14">
        <v>31.252657437775181</v>
      </c>
      <c r="R3" s="14">
        <f>+Q3*N3</f>
        <v>386.67975468036099</v>
      </c>
      <c r="S3" s="13">
        <v>6062</v>
      </c>
      <c r="T3" s="13">
        <v>24.6</v>
      </c>
      <c r="U3" s="13">
        <v>12.600000000000001</v>
      </c>
      <c r="V3">
        <v>1</v>
      </c>
      <c r="W3">
        <v>2</v>
      </c>
      <c r="X3">
        <v>1</v>
      </c>
      <c r="Y3">
        <v>0</v>
      </c>
      <c r="Z3">
        <v>0</v>
      </c>
      <c r="AA3">
        <v>1</v>
      </c>
      <c r="AB3">
        <v>5</v>
      </c>
      <c r="AC3">
        <v>5</v>
      </c>
      <c r="AD3">
        <v>0.83768771950527943</v>
      </c>
    </row>
    <row r="4" spans="1:30" x14ac:dyDescent="0.3">
      <c r="A4">
        <v>3</v>
      </c>
      <c r="B4">
        <v>2</v>
      </c>
      <c r="C4" t="s">
        <v>30</v>
      </c>
      <c r="D4" t="s">
        <v>30</v>
      </c>
      <c r="E4" t="s">
        <v>36</v>
      </c>
      <c r="F4" t="s">
        <v>32</v>
      </c>
      <c r="G4" t="s">
        <v>37</v>
      </c>
      <c r="H4">
        <v>1</v>
      </c>
      <c r="I4">
        <v>1</v>
      </c>
      <c r="J4">
        <v>1</v>
      </c>
      <c r="K4">
        <v>1</v>
      </c>
      <c r="L4">
        <v>8</v>
      </c>
      <c r="M4">
        <v>1.0660000000000001</v>
      </c>
      <c r="N4" s="16">
        <v>14.058999999999999</v>
      </c>
      <c r="O4">
        <v>1</v>
      </c>
      <c r="P4" s="17">
        <v>1.022421524663677</v>
      </c>
      <c r="Q4" s="14">
        <v>12.31122415969277</v>
      </c>
      <c r="R4" s="14">
        <f>+Q4*N4</f>
        <v>173.08350046112065</v>
      </c>
      <c r="S4">
        <v>5575</v>
      </c>
      <c r="T4">
        <v>16.2</v>
      </c>
      <c r="U4" s="13">
        <v>5.7250000000000014</v>
      </c>
      <c r="V4">
        <v>0</v>
      </c>
      <c r="W4">
        <v>1</v>
      </c>
      <c r="X4">
        <v>2</v>
      </c>
      <c r="Y4">
        <v>0</v>
      </c>
      <c r="Z4">
        <v>0</v>
      </c>
      <c r="AA4">
        <v>1</v>
      </c>
      <c r="AB4">
        <v>3</v>
      </c>
      <c r="AC4">
        <v>3</v>
      </c>
      <c r="AD4">
        <v>0.79116495199483516</v>
      </c>
    </row>
    <row r="5" spans="1:30" x14ac:dyDescent="0.3">
      <c r="A5">
        <v>4</v>
      </c>
      <c r="B5">
        <v>2</v>
      </c>
      <c r="C5" t="s">
        <v>30</v>
      </c>
      <c r="D5" t="s">
        <v>30</v>
      </c>
      <c r="E5" t="s">
        <v>36</v>
      </c>
      <c r="F5" t="s">
        <v>34</v>
      </c>
      <c r="G5" t="s">
        <v>38</v>
      </c>
      <c r="H5">
        <v>1</v>
      </c>
      <c r="I5">
        <v>1</v>
      </c>
      <c r="J5">
        <v>1</v>
      </c>
      <c r="K5">
        <v>1</v>
      </c>
      <c r="L5">
        <v>10</v>
      </c>
      <c r="M5" s="17">
        <v>1.0660000000000001</v>
      </c>
      <c r="N5" s="16">
        <v>14.058999999999999</v>
      </c>
      <c r="O5">
        <v>1</v>
      </c>
      <c r="P5" s="17">
        <v>1.022421524663677</v>
      </c>
      <c r="Q5" s="14">
        <v>12.31122415969277</v>
      </c>
      <c r="R5" s="14">
        <f>+Q5*N5</f>
        <v>173.08350046112065</v>
      </c>
      <c r="S5">
        <v>5575</v>
      </c>
      <c r="T5">
        <v>16.350000000000001</v>
      </c>
      <c r="U5" s="13">
        <v>5.1000000000000014</v>
      </c>
      <c r="V5">
        <v>1</v>
      </c>
      <c r="W5">
        <v>3</v>
      </c>
      <c r="X5">
        <v>2</v>
      </c>
      <c r="Y5">
        <v>0</v>
      </c>
      <c r="Z5">
        <v>0</v>
      </c>
      <c r="AA5">
        <v>1</v>
      </c>
      <c r="AB5">
        <v>4</v>
      </c>
      <c r="AC5">
        <v>4</v>
      </c>
      <c r="AD5">
        <v>0.91250560541208858</v>
      </c>
    </row>
    <row r="6" spans="1:30" x14ac:dyDescent="0.3">
      <c r="A6">
        <v>5</v>
      </c>
      <c r="B6">
        <v>3</v>
      </c>
      <c r="C6" t="s">
        <v>30</v>
      </c>
      <c r="D6" t="s">
        <v>30</v>
      </c>
      <c r="E6" t="s">
        <v>39</v>
      </c>
      <c r="F6" t="s">
        <v>32</v>
      </c>
      <c r="G6" t="s">
        <v>40</v>
      </c>
      <c r="H6">
        <v>1</v>
      </c>
      <c r="I6">
        <v>2</v>
      </c>
      <c r="J6">
        <v>1</v>
      </c>
      <c r="K6">
        <v>1</v>
      </c>
      <c r="L6">
        <v>21</v>
      </c>
      <c r="M6">
        <v>1.149</v>
      </c>
      <c r="N6" s="16">
        <v>38.157181818181819</v>
      </c>
      <c r="O6">
        <v>3</v>
      </c>
      <c r="P6" s="17">
        <v>1.591320072332731</v>
      </c>
      <c r="Q6" s="14">
        <v>7.7751742775170198</v>
      </c>
      <c r="R6" s="14">
        <f>+Q6*N6</f>
        <v>296.6787385752674</v>
      </c>
      <c r="S6">
        <v>5530</v>
      </c>
      <c r="T6">
        <v>16.850000000000001</v>
      </c>
      <c r="U6" s="13">
        <v>6</v>
      </c>
      <c r="V6">
        <v>0</v>
      </c>
      <c r="W6">
        <v>2</v>
      </c>
      <c r="X6">
        <v>1</v>
      </c>
      <c r="Y6">
        <v>2</v>
      </c>
      <c r="Z6">
        <v>0</v>
      </c>
      <c r="AA6">
        <v>0</v>
      </c>
      <c r="AB6">
        <v>4</v>
      </c>
      <c r="AC6">
        <v>3</v>
      </c>
      <c r="AD6">
        <v>0.7147742773857535</v>
      </c>
    </row>
    <row r="7" spans="1:30" x14ac:dyDescent="0.3">
      <c r="A7">
        <v>6</v>
      </c>
      <c r="B7">
        <v>3</v>
      </c>
      <c r="C7" t="s">
        <v>30</v>
      </c>
      <c r="D7" t="s">
        <v>30</v>
      </c>
      <c r="E7" t="s">
        <v>39</v>
      </c>
      <c r="F7" t="s">
        <v>34</v>
      </c>
      <c r="G7" t="s">
        <v>41</v>
      </c>
      <c r="H7">
        <v>1</v>
      </c>
      <c r="I7">
        <v>2</v>
      </c>
      <c r="J7">
        <v>3</v>
      </c>
      <c r="K7">
        <v>3</v>
      </c>
      <c r="L7">
        <v>22</v>
      </c>
      <c r="M7" s="17">
        <v>1.149</v>
      </c>
      <c r="N7" s="16">
        <v>38.157181818181819</v>
      </c>
      <c r="O7">
        <v>4</v>
      </c>
      <c r="P7" s="17">
        <v>1.591320072332731</v>
      </c>
      <c r="Q7" s="14">
        <v>7.7751742775170198</v>
      </c>
      <c r="R7" s="14">
        <f>+Q7*N7</f>
        <v>296.6787385752674</v>
      </c>
      <c r="S7">
        <v>5530</v>
      </c>
      <c r="T7">
        <v>20.399999999999999</v>
      </c>
      <c r="U7" s="13">
        <v>8.1999999999999993</v>
      </c>
      <c r="V7">
        <v>0</v>
      </c>
      <c r="W7">
        <v>1</v>
      </c>
      <c r="X7">
        <v>1</v>
      </c>
      <c r="Y7">
        <v>2</v>
      </c>
      <c r="Z7">
        <v>0</v>
      </c>
      <c r="AA7">
        <v>1</v>
      </c>
      <c r="AB7">
        <v>4</v>
      </c>
      <c r="AC7">
        <v>4</v>
      </c>
      <c r="AD7">
        <v>0.76186147554041217</v>
      </c>
    </row>
    <row r="8" spans="1:30" x14ac:dyDescent="0.3">
      <c r="A8">
        <v>7</v>
      </c>
      <c r="B8">
        <v>4</v>
      </c>
      <c r="C8" t="s">
        <v>30</v>
      </c>
      <c r="D8" t="s">
        <v>30</v>
      </c>
      <c r="E8" t="s">
        <v>42</v>
      </c>
      <c r="F8" t="s">
        <v>32</v>
      </c>
      <c r="G8" t="s">
        <v>43</v>
      </c>
      <c r="H8">
        <v>2</v>
      </c>
      <c r="I8">
        <v>4</v>
      </c>
      <c r="J8">
        <v>3</v>
      </c>
      <c r="K8">
        <v>3</v>
      </c>
      <c r="L8">
        <v>29</v>
      </c>
      <c r="M8">
        <v>1.1279999999999999</v>
      </c>
      <c r="N8" s="16">
        <v>24.310181818181821</v>
      </c>
      <c r="O8">
        <v>4</v>
      </c>
      <c r="P8" s="17">
        <v>2.824974411463665</v>
      </c>
      <c r="Q8" s="14">
        <v>24.318085380055329</v>
      </c>
      <c r="R8" s="14">
        <f>+Q8*N8</f>
        <v>591.17707705921418</v>
      </c>
      <c r="S8">
        <v>4885</v>
      </c>
      <c r="T8">
        <v>19.899999999999999</v>
      </c>
      <c r="U8" s="13">
        <v>12.099999999999998</v>
      </c>
      <c r="V8">
        <v>0</v>
      </c>
      <c r="W8">
        <v>1</v>
      </c>
      <c r="X8">
        <v>2</v>
      </c>
      <c r="Y8">
        <v>1</v>
      </c>
      <c r="Z8">
        <v>1</v>
      </c>
      <c r="AA8">
        <v>0</v>
      </c>
      <c r="AB8">
        <v>3</v>
      </c>
      <c r="AC8">
        <v>3</v>
      </c>
      <c r="AD8">
        <v>0.79116495199483516</v>
      </c>
    </row>
    <row r="9" spans="1:30" x14ac:dyDescent="0.3">
      <c r="A9">
        <v>8</v>
      </c>
      <c r="B9">
        <v>4</v>
      </c>
      <c r="C9" t="s">
        <v>30</v>
      </c>
      <c r="D9" t="s">
        <v>30</v>
      </c>
      <c r="E9" t="s">
        <v>42</v>
      </c>
      <c r="F9" t="s">
        <v>34</v>
      </c>
      <c r="G9" t="s">
        <v>44</v>
      </c>
      <c r="H9">
        <v>2</v>
      </c>
      <c r="I9">
        <v>2</v>
      </c>
      <c r="J9">
        <v>3</v>
      </c>
      <c r="K9">
        <v>3</v>
      </c>
      <c r="L9">
        <v>20</v>
      </c>
      <c r="M9" s="17">
        <v>1.1279999999999999</v>
      </c>
      <c r="N9" s="16">
        <v>24.310181818181821</v>
      </c>
      <c r="O9">
        <v>4</v>
      </c>
      <c r="P9" s="17">
        <v>2.824974411463665</v>
      </c>
      <c r="Q9" s="14">
        <v>24.318085380055329</v>
      </c>
      <c r="R9" s="14">
        <f>+Q9*N9</f>
        <v>591.17707705921418</v>
      </c>
      <c r="S9">
        <v>4885</v>
      </c>
      <c r="T9">
        <v>23</v>
      </c>
      <c r="U9" s="13">
        <v>10.3</v>
      </c>
      <c r="V9">
        <v>0</v>
      </c>
      <c r="W9">
        <v>1</v>
      </c>
      <c r="X9">
        <v>2</v>
      </c>
      <c r="Y9">
        <v>2</v>
      </c>
      <c r="Z9">
        <v>2</v>
      </c>
      <c r="AA9">
        <v>0</v>
      </c>
      <c r="AB9">
        <v>4</v>
      </c>
      <c r="AC9">
        <v>3</v>
      </c>
      <c r="AD9">
        <v>0.74259743488394214</v>
      </c>
    </row>
    <row r="10" spans="1:30" x14ac:dyDescent="0.3">
      <c r="A10">
        <v>9</v>
      </c>
      <c r="B10">
        <v>5</v>
      </c>
      <c r="C10" t="s">
        <v>30</v>
      </c>
      <c r="D10" t="s">
        <v>30</v>
      </c>
      <c r="E10" t="s">
        <v>45</v>
      </c>
      <c r="F10" t="s">
        <v>32</v>
      </c>
      <c r="G10" t="s">
        <v>46</v>
      </c>
      <c r="H10">
        <v>4</v>
      </c>
      <c r="I10">
        <v>2</v>
      </c>
      <c r="J10">
        <v>2</v>
      </c>
      <c r="K10">
        <v>3</v>
      </c>
      <c r="L10">
        <v>28</v>
      </c>
      <c r="M10">
        <v>1.464</v>
      </c>
      <c r="N10" s="16">
        <v>17.358357142857141</v>
      </c>
      <c r="O10">
        <v>4</v>
      </c>
      <c r="P10" s="17">
        <v>3.6008883248730958</v>
      </c>
      <c r="Q10" s="14">
        <v>45.616975766654335</v>
      </c>
      <c r="R10" s="14">
        <f>+Q10*N10</f>
        <v>791.83575713464541</v>
      </c>
      <c r="S10">
        <v>6304</v>
      </c>
      <c r="T10">
        <v>18.8</v>
      </c>
      <c r="U10" s="13">
        <v>11.55</v>
      </c>
      <c r="V10">
        <v>1</v>
      </c>
      <c r="W10">
        <v>3</v>
      </c>
      <c r="X10">
        <v>2</v>
      </c>
      <c r="Y10">
        <v>1</v>
      </c>
      <c r="Z10">
        <v>1</v>
      </c>
      <c r="AA10">
        <v>0</v>
      </c>
      <c r="AB10">
        <v>4</v>
      </c>
      <c r="AC10">
        <v>4</v>
      </c>
      <c r="AD10">
        <v>0.91918425751303312</v>
      </c>
    </row>
    <row r="11" spans="1:30" x14ac:dyDescent="0.3">
      <c r="A11">
        <v>10</v>
      </c>
      <c r="B11">
        <v>5</v>
      </c>
      <c r="C11" t="s">
        <v>30</v>
      </c>
      <c r="D11" t="s">
        <v>30</v>
      </c>
      <c r="E11" t="s">
        <v>45</v>
      </c>
      <c r="F11" t="s">
        <v>34</v>
      </c>
      <c r="G11" t="s">
        <v>47</v>
      </c>
      <c r="H11">
        <v>4</v>
      </c>
      <c r="I11">
        <v>3</v>
      </c>
      <c r="J11">
        <v>2</v>
      </c>
      <c r="K11">
        <v>3</v>
      </c>
      <c r="L11">
        <v>28</v>
      </c>
      <c r="M11" s="17">
        <v>1.464</v>
      </c>
      <c r="N11" s="16">
        <v>17.358357142857141</v>
      </c>
      <c r="O11">
        <v>4</v>
      </c>
      <c r="P11" s="17">
        <v>3.6008883248730958</v>
      </c>
      <c r="Q11" s="14">
        <v>45.616975766654335</v>
      </c>
      <c r="R11" s="14">
        <f>+Q11*N11</f>
        <v>791.83575713464541</v>
      </c>
      <c r="S11">
        <v>6304</v>
      </c>
      <c r="T11">
        <v>16.899999999999999</v>
      </c>
      <c r="U11" s="13">
        <v>11.975000000000001</v>
      </c>
      <c r="V11">
        <v>0</v>
      </c>
      <c r="W11">
        <v>3</v>
      </c>
      <c r="X11">
        <v>2</v>
      </c>
      <c r="Y11">
        <v>1</v>
      </c>
      <c r="Z11">
        <v>1</v>
      </c>
      <c r="AA11">
        <v>0</v>
      </c>
      <c r="AB11">
        <v>3</v>
      </c>
      <c r="AC11">
        <v>3</v>
      </c>
      <c r="AD11">
        <v>0.94320791415221339</v>
      </c>
    </row>
    <row r="12" spans="1:30" x14ac:dyDescent="0.3">
      <c r="A12">
        <v>11</v>
      </c>
      <c r="B12">
        <v>6</v>
      </c>
      <c r="C12" t="s">
        <v>30</v>
      </c>
      <c r="D12" t="s">
        <v>30</v>
      </c>
      <c r="E12" t="s">
        <v>48</v>
      </c>
      <c r="F12" t="s">
        <v>32</v>
      </c>
      <c r="G12" t="s">
        <v>49</v>
      </c>
      <c r="H12">
        <v>1</v>
      </c>
      <c r="I12">
        <v>2</v>
      </c>
      <c r="J12">
        <v>2</v>
      </c>
      <c r="K12">
        <v>2</v>
      </c>
      <c r="L12">
        <v>25</v>
      </c>
      <c r="M12">
        <v>1.1040000000000001</v>
      </c>
      <c r="N12" s="16">
        <v>31.275500000000001</v>
      </c>
      <c r="O12">
        <v>3</v>
      </c>
      <c r="P12" s="17">
        <v>0.59248726152387721</v>
      </c>
      <c r="Q12" s="14">
        <v>5.5080085153672105</v>
      </c>
      <c r="R12" s="14">
        <f>+Q12*N12</f>
        <v>172.2657203223672</v>
      </c>
      <c r="S12">
        <v>8439</v>
      </c>
      <c r="T12">
        <v>13.6</v>
      </c>
      <c r="U12" s="13">
        <v>5.4999999999999982</v>
      </c>
      <c r="V12">
        <v>0</v>
      </c>
      <c r="W12">
        <v>3</v>
      </c>
      <c r="X12">
        <v>2</v>
      </c>
      <c r="Y12">
        <v>2</v>
      </c>
      <c r="Z12">
        <v>1</v>
      </c>
      <c r="AA12">
        <v>0</v>
      </c>
      <c r="AB12">
        <v>2</v>
      </c>
      <c r="AC12">
        <v>2</v>
      </c>
      <c r="AD12">
        <v>0.87269165470070287</v>
      </c>
    </row>
    <row r="13" spans="1:30" x14ac:dyDescent="0.3">
      <c r="A13">
        <v>12</v>
      </c>
      <c r="B13">
        <v>6</v>
      </c>
      <c r="C13" t="s">
        <v>30</v>
      </c>
      <c r="D13" t="s">
        <v>30</v>
      </c>
      <c r="E13" t="s">
        <v>48</v>
      </c>
      <c r="F13" t="s">
        <v>34</v>
      </c>
      <c r="G13" t="s">
        <v>50</v>
      </c>
      <c r="H13">
        <v>1</v>
      </c>
      <c r="I13">
        <v>1</v>
      </c>
      <c r="J13">
        <v>1</v>
      </c>
      <c r="K13">
        <v>2</v>
      </c>
      <c r="L13">
        <v>21</v>
      </c>
      <c r="M13" s="17">
        <v>1.1040000000000001</v>
      </c>
      <c r="N13" s="16">
        <v>31.275500000000001</v>
      </c>
      <c r="O13">
        <v>2</v>
      </c>
      <c r="P13" s="17">
        <v>0.59248726152387721</v>
      </c>
      <c r="Q13" s="14">
        <v>5.5080085153672105</v>
      </c>
      <c r="R13" s="14">
        <f>+Q13*N13</f>
        <v>172.2657203223672</v>
      </c>
      <c r="S13">
        <v>8439</v>
      </c>
      <c r="T13">
        <v>15.1</v>
      </c>
      <c r="U13" s="13">
        <v>7.3999999999999986</v>
      </c>
      <c r="V13">
        <v>0</v>
      </c>
      <c r="W13">
        <v>3</v>
      </c>
      <c r="X13">
        <v>2</v>
      </c>
      <c r="Y13">
        <v>2</v>
      </c>
      <c r="Z13">
        <v>0</v>
      </c>
      <c r="AA13">
        <v>0</v>
      </c>
      <c r="AB13">
        <v>4</v>
      </c>
      <c r="AC13">
        <v>4</v>
      </c>
      <c r="AD13">
        <v>0.80074247284730782</v>
      </c>
    </row>
    <row r="14" spans="1:30" x14ac:dyDescent="0.3">
      <c r="A14">
        <v>13</v>
      </c>
      <c r="B14">
        <v>7</v>
      </c>
      <c r="C14" t="s">
        <v>30</v>
      </c>
      <c r="D14" t="s">
        <v>30</v>
      </c>
      <c r="E14" t="s">
        <v>51</v>
      </c>
      <c r="F14" t="s">
        <v>32</v>
      </c>
      <c r="G14" t="s">
        <v>52</v>
      </c>
      <c r="H14">
        <v>4</v>
      </c>
      <c r="I14">
        <v>3</v>
      </c>
      <c r="J14">
        <v>2</v>
      </c>
      <c r="K14">
        <v>2</v>
      </c>
      <c r="L14">
        <v>25</v>
      </c>
      <c r="M14">
        <v>1.1459999999999999</v>
      </c>
      <c r="N14" s="16">
        <v>37.581200000000003</v>
      </c>
      <c r="O14">
        <v>4</v>
      </c>
      <c r="P14" s="17">
        <v>0.32777115613825991</v>
      </c>
      <c r="Q14" s="14">
        <v>2.6724439605130694</v>
      </c>
      <c r="R14" s="14">
        <f>+Q14*N14</f>
        <v>100.43365096883377</v>
      </c>
      <c r="S14">
        <v>6712</v>
      </c>
      <c r="T14">
        <v>17.5</v>
      </c>
      <c r="U14" s="13">
        <v>10</v>
      </c>
      <c r="V14">
        <v>0</v>
      </c>
      <c r="W14">
        <v>3</v>
      </c>
      <c r="X14">
        <v>2</v>
      </c>
      <c r="Y14">
        <v>1</v>
      </c>
      <c r="Z14">
        <v>0</v>
      </c>
      <c r="AA14">
        <v>1</v>
      </c>
      <c r="AB14">
        <v>3</v>
      </c>
      <c r="AC14">
        <v>3</v>
      </c>
      <c r="AD14">
        <v>0.88678735482582116</v>
      </c>
    </row>
    <row r="15" spans="1:30" x14ac:dyDescent="0.3">
      <c r="A15">
        <v>14</v>
      </c>
      <c r="B15">
        <v>7</v>
      </c>
      <c r="C15" t="s">
        <v>30</v>
      </c>
      <c r="D15" t="s">
        <v>30</v>
      </c>
      <c r="E15" t="s">
        <v>51</v>
      </c>
      <c r="F15" t="s">
        <v>34</v>
      </c>
      <c r="G15" t="s">
        <v>53</v>
      </c>
      <c r="H15">
        <v>4</v>
      </c>
      <c r="I15">
        <v>2</v>
      </c>
      <c r="J15">
        <v>3</v>
      </c>
      <c r="K15">
        <v>2</v>
      </c>
      <c r="L15">
        <v>23</v>
      </c>
      <c r="M15" s="17">
        <v>1.1459999999999999</v>
      </c>
      <c r="N15" s="16">
        <v>37.581200000000003</v>
      </c>
      <c r="O15">
        <v>4</v>
      </c>
      <c r="P15" s="17">
        <v>0.32777115613825991</v>
      </c>
      <c r="Q15" s="14">
        <v>2.6724439605130694</v>
      </c>
      <c r="R15" s="14">
        <f>+Q15*N15</f>
        <v>100.43365096883377</v>
      </c>
      <c r="S15">
        <v>6712</v>
      </c>
      <c r="T15">
        <v>15.9</v>
      </c>
      <c r="U15" s="13">
        <v>9.4500000000000011</v>
      </c>
      <c r="V15">
        <v>0</v>
      </c>
      <c r="W15">
        <v>4</v>
      </c>
      <c r="X15">
        <v>2</v>
      </c>
      <c r="Y15">
        <v>1</v>
      </c>
      <c r="Z15">
        <v>0</v>
      </c>
      <c r="AA15">
        <v>1</v>
      </c>
      <c r="AB15">
        <v>3</v>
      </c>
      <c r="AC15">
        <v>3</v>
      </c>
      <c r="AD15">
        <v>0.79518708334869048</v>
      </c>
    </row>
    <row r="16" spans="1:30" x14ac:dyDescent="0.3">
      <c r="A16">
        <v>15</v>
      </c>
      <c r="B16">
        <v>8</v>
      </c>
      <c r="C16" t="s">
        <v>30</v>
      </c>
      <c r="D16" t="s">
        <v>30</v>
      </c>
      <c r="E16" t="s">
        <v>54</v>
      </c>
      <c r="F16" t="s">
        <v>32</v>
      </c>
      <c r="G16" t="s">
        <v>55</v>
      </c>
      <c r="H16">
        <v>2</v>
      </c>
      <c r="I16">
        <v>4</v>
      </c>
      <c r="J16">
        <v>3</v>
      </c>
      <c r="K16">
        <v>4</v>
      </c>
      <c r="L16">
        <v>26</v>
      </c>
      <c r="M16">
        <v>1.3169999999999999</v>
      </c>
      <c r="N16" s="16">
        <v>45.104444444444447</v>
      </c>
      <c r="O16">
        <v>4</v>
      </c>
      <c r="P16" s="17">
        <v>0.31713814537612578</v>
      </c>
      <c r="Q16" s="14">
        <v>2.2128639855576133</v>
      </c>
      <c r="R16" s="14">
        <f>+Q16*N16</f>
        <v>99.810000699695294</v>
      </c>
      <c r="S16">
        <v>7883</v>
      </c>
      <c r="T16">
        <v>19.3</v>
      </c>
      <c r="U16" s="13">
        <v>9.5</v>
      </c>
      <c r="V16">
        <v>0</v>
      </c>
      <c r="W16">
        <v>4</v>
      </c>
      <c r="X16">
        <v>2</v>
      </c>
      <c r="Y16">
        <v>0</v>
      </c>
      <c r="Z16">
        <v>0</v>
      </c>
      <c r="AA16">
        <v>0</v>
      </c>
      <c r="AB16">
        <v>4</v>
      </c>
      <c r="AC16">
        <v>4</v>
      </c>
      <c r="AD16">
        <v>0.91443568162622224</v>
      </c>
    </row>
    <row r="17" spans="1:30" x14ac:dyDescent="0.3">
      <c r="A17">
        <v>16</v>
      </c>
      <c r="B17">
        <v>8</v>
      </c>
      <c r="C17" t="s">
        <v>30</v>
      </c>
      <c r="D17" t="s">
        <v>30</v>
      </c>
      <c r="E17" t="s">
        <v>54</v>
      </c>
      <c r="F17" t="s">
        <v>34</v>
      </c>
      <c r="G17" t="s">
        <v>56</v>
      </c>
      <c r="H17">
        <v>2</v>
      </c>
      <c r="I17">
        <v>3</v>
      </c>
      <c r="J17">
        <v>2</v>
      </c>
      <c r="K17">
        <v>2</v>
      </c>
      <c r="L17">
        <v>24</v>
      </c>
      <c r="M17" s="17">
        <v>1.3169999999999999</v>
      </c>
      <c r="N17" s="16">
        <v>45.104444444444447</v>
      </c>
      <c r="O17">
        <v>4</v>
      </c>
      <c r="P17" s="17">
        <v>0.31713814537612578</v>
      </c>
      <c r="Q17" s="14">
        <v>2.2128639855576133</v>
      </c>
      <c r="R17" s="14">
        <f>+Q17*N17</f>
        <v>99.810000699695294</v>
      </c>
      <c r="S17">
        <v>7883</v>
      </c>
      <c r="T17">
        <v>13.8</v>
      </c>
      <c r="U17" s="13">
        <v>8.1</v>
      </c>
      <c r="V17">
        <v>0</v>
      </c>
      <c r="W17">
        <v>5</v>
      </c>
      <c r="X17">
        <v>2</v>
      </c>
      <c r="Y17">
        <v>1</v>
      </c>
      <c r="Z17">
        <v>0</v>
      </c>
      <c r="AA17">
        <v>1</v>
      </c>
      <c r="AB17">
        <v>5</v>
      </c>
      <c r="AC17">
        <v>4</v>
      </c>
      <c r="AD17">
        <v>0.94024101186092035</v>
      </c>
    </row>
    <row r="18" spans="1:30" x14ac:dyDescent="0.3">
      <c r="A18">
        <v>17</v>
      </c>
      <c r="B18">
        <v>9</v>
      </c>
      <c r="C18" t="s">
        <v>30</v>
      </c>
      <c r="D18" t="s">
        <v>30</v>
      </c>
      <c r="E18" t="s">
        <v>57</v>
      </c>
      <c r="F18" t="s">
        <v>32</v>
      </c>
      <c r="G18" t="s">
        <v>58</v>
      </c>
      <c r="H18">
        <v>1</v>
      </c>
      <c r="I18">
        <v>1</v>
      </c>
      <c r="J18">
        <v>2</v>
      </c>
      <c r="K18">
        <v>1</v>
      </c>
      <c r="L18">
        <v>10</v>
      </c>
      <c r="M18">
        <v>1.0569999999999999</v>
      </c>
      <c r="N18" s="16">
        <v>38.895000000000003</v>
      </c>
      <c r="O18">
        <v>3</v>
      </c>
      <c r="P18" s="17">
        <v>0.37453183520599248</v>
      </c>
      <c r="Q18" s="14">
        <v>3.1952044948317821</v>
      </c>
      <c r="R18" s="14">
        <f>+Q18*N18</f>
        <v>124.27747882648218</v>
      </c>
      <c r="S18">
        <v>5073</v>
      </c>
      <c r="T18">
        <v>16.5</v>
      </c>
      <c r="U18" s="13">
        <v>8.1</v>
      </c>
      <c r="V18">
        <v>0</v>
      </c>
      <c r="W18">
        <v>2</v>
      </c>
      <c r="X18">
        <v>1</v>
      </c>
      <c r="Y18">
        <v>1</v>
      </c>
      <c r="Z18">
        <v>1</v>
      </c>
      <c r="AA18">
        <v>0</v>
      </c>
      <c r="AB18">
        <v>4</v>
      </c>
      <c r="AC18">
        <v>3</v>
      </c>
      <c r="AD18">
        <v>0.81651710496517449</v>
      </c>
    </row>
    <row r="19" spans="1:30" s="13" customFormat="1" x14ac:dyDescent="0.3">
      <c r="A19">
        <v>18</v>
      </c>
      <c r="B19">
        <v>9</v>
      </c>
      <c r="C19" t="s">
        <v>30</v>
      </c>
      <c r="D19" t="s">
        <v>30</v>
      </c>
      <c r="E19" t="s">
        <v>57</v>
      </c>
      <c r="F19" t="s">
        <v>34</v>
      </c>
      <c r="G19" t="s">
        <v>59</v>
      </c>
      <c r="H19">
        <v>1</v>
      </c>
      <c r="I19">
        <v>2</v>
      </c>
      <c r="J19">
        <v>1</v>
      </c>
      <c r="K19">
        <v>1</v>
      </c>
      <c r="L19">
        <v>15</v>
      </c>
      <c r="M19" s="17">
        <v>1.0569999999999999</v>
      </c>
      <c r="N19" s="16">
        <v>38.895000000000003</v>
      </c>
      <c r="O19">
        <v>3</v>
      </c>
      <c r="P19" s="17">
        <v>0.37453183520599248</v>
      </c>
      <c r="Q19" s="14">
        <v>3.1952044948317821</v>
      </c>
      <c r="R19" s="14">
        <f>+Q19*N19</f>
        <v>124.27747882648218</v>
      </c>
      <c r="S19">
        <v>5073</v>
      </c>
      <c r="T19">
        <v>14.9</v>
      </c>
      <c r="U19" s="13">
        <v>8.3000000000000007</v>
      </c>
      <c r="V19">
        <v>0</v>
      </c>
      <c r="W19">
        <v>4</v>
      </c>
      <c r="X19">
        <v>2</v>
      </c>
      <c r="Y19">
        <v>3</v>
      </c>
      <c r="Z19">
        <v>1</v>
      </c>
      <c r="AA19">
        <v>0</v>
      </c>
      <c r="AB19">
        <v>5</v>
      </c>
      <c r="AC19">
        <v>3</v>
      </c>
      <c r="AD19">
        <v>0.84664455343793099</v>
      </c>
    </row>
    <row r="20" spans="1:30" x14ac:dyDescent="0.3">
      <c r="A20">
        <v>19</v>
      </c>
      <c r="B20">
        <v>10</v>
      </c>
      <c r="C20" t="s">
        <v>30</v>
      </c>
      <c r="D20" t="s">
        <v>30</v>
      </c>
      <c r="E20" t="s">
        <v>60</v>
      </c>
      <c r="F20" t="s">
        <v>32</v>
      </c>
      <c r="G20" t="s">
        <v>61</v>
      </c>
      <c r="H20">
        <v>3</v>
      </c>
      <c r="I20">
        <v>3</v>
      </c>
      <c r="J20">
        <v>3</v>
      </c>
      <c r="K20">
        <v>2</v>
      </c>
      <c r="L20">
        <v>19</v>
      </c>
      <c r="M20">
        <v>1.1339999999999999</v>
      </c>
      <c r="N20" s="16">
        <v>62.143500000000003</v>
      </c>
      <c r="O20">
        <v>4</v>
      </c>
      <c r="P20" s="17">
        <v>0.35356511490866238</v>
      </c>
      <c r="Q20" s="14">
        <v>2.3809942725062418</v>
      </c>
      <c r="R20" s="14">
        <f>+Q20*N20</f>
        <v>147.96331757349165</v>
      </c>
      <c r="S20">
        <v>3394</v>
      </c>
      <c r="T20">
        <v>16</v>
      </c>
      <c r="U20" s="13">
        <v>6.6500000000000021</v>
      </c>
      <c r="V20">
        <v>1</v>
      </c>
      <c r="W20">
        <v>1</v>
      </c>
      <c r="X20">
        <v>1</v>
      </c>
      <c r="Y20">
        <v>0</v>
      </c>
      <c r="Z20">
        <v>0</v>
      </c>
      <c r="AA20">
        <v>1</v>
      </c>
      <c r="AB20">
        <v>3</v>
      </c>
      <c r="AC20">
        <v>3</v>
      </c>
      <c r="AD20">
        <v>0.75548483220538287</v>
      </c>
    </row>
    <row r="21" spans="1:30" x14ac:dyDescent="0.3">
      <c r="A21">
        <v>20</v>
      </c>
      <c r="B21">
        <v>10</v>
      </c>
      <c r="C21" t="s">
        <v>30</v>
      </c>
      <c r="D21" t="s">
        <v>30</v>
      </c>
      <c r="E21" t="s">
        <v>60</v>
      </c>
      <c r="F21" t="s">
        <v>34</v>
      </c>
      <c r="G21" t="s">
        <v>62</v>
      </c>
      <c r="H21">
        <v>3</v>
      </c>
      <c r="I21">
        <v>3</v>
      </c>
      <c r="J21">
        <v>3</v>
      </c>
      <c r="K21">
        <v>3</v>
      </c>
      <c r="L21">
        <v>21</v>
      </c>
      <c r="M21">
        <v>1.1339999999999999</v>
      </c>
      <c r="N21" s="16">
        <v>62.143500000000003</v>
      </c>
      <c r="O21">
        <v>4</v>
      </c>
      <c r="P21" s="17">
        <v>0.35356511490866238</v>
      </c>
      <c r="Q21" s="14">
        <v>2.3809942725062418</v>
      </c>
      <c r="R21" s="14">
        <f>+Q21*N21</f>
        <v>147.96331757349165</v>
      </c>
      <c r="S21">
        <v>3394</v>
      </c>
      <c r="T21">
        <v>15.7</v>
      </c>
      <c r="U21" s="13">
        <v>6.2000000000000011</v>
      </c>
      <c r="V21">
        <v>0</v>
      </c>
      <c r="W21">
        <v>1</v>
      </c>
      <c r="X21">
        <v>1</v>
      </c>
      <c r="Y21">
        <v>0</v>
      </c>
      <c r="Z21">
        <v>0</v>
      </c>
      <c r="AA21">
        <v>1</v>
      </c>
      <c r="AB21">
        <v>4</v>
      </c>
      <c r="AC21">
        <v>4</v>
      </c>
      <c r="AD21">
        <v>0.65858561727585174</v>
      </c>
    </row>
    <row r="22" spans="1:30" x14ac:dyDescent="0.3">
      <c r="A22">
        <v>21</v>
      </c>
      <c r="B22">
        <v>11</v>
      </c>
      <c r="C22" t="s">
        <v>30</v>
      </c>
      <c r="D22" t="s">
        <v>30</v>
      </c>
      <c r="E22" t="s">
        <v>63</v>
      </c>
      <c r="F22" t="s">
        <v>32</v>
      </c>
      <c r="G22" t="s">
        <v>64</v>
      </c>
      <c r="H22">
        <v>1</v>
      </c>
      <c r="I22">
        <v>2</v>
      </c>
      <c r="J22">
        <v>3</v>
      </c>
      <c r="K22">
        <v>2</v>
      </c>
      <c r="L22">
        <v>21</v>
      </c>
      <c r="M22">
        <v>1.0620000000000001</v>
      </c>
      <c r="N22" s="16">
        <v>74.419749999999993</v>
      </c>
      <c r="O22">
        <v>3</v>
      </c>
      <c r="P22" s="17">
        <v>0.2105002476473502</v>
      </c>
      <c r="Q22" s="14">
        <v>1.2791025155291953</v>
      </c>
      <c r="R22" s="14">
        <f>+Q22*N22</f>
        <v>95.190489430053816</v>
      </c>
      <c r="S22">
        <v>8076</v>
      </c>
      <c r="T22">
        <v>14.5</v>
      </c>
      <c r="U22" s="13">
        <v>8.2000000000000011</v>
      </c>
      <c r="V22">
        <v>0</v>
      </c>
      <c r="W22">
        <v>1</v>
      </c>
      <c r="X22">
        <v>2</v>
      </c>
      <c r="Y22">
        <v>0</v>
      </c>
      <c r="Z22">
        <v>0</v>
      </c>
      <c r="AA22">
        <v>0</v>
      </c>
      <c r="AB22">
        <v>3</v>
      </c>
      <c r="AC22">
        <v>3</v>
      </c>
      <c r="AD22">
        <v>0.76240237595717042</v>
      </c>
    </row>
    <row r="23" spans="1:30" x14ac:dyDescent="0.3">
      <c r="A23">
        <v>22</v>
      </c>
      <c r="B23">
        <v>11</v>
      </c>
      <c r="C23" t="s">
        <v>30</v>
      </c>
      <c r="D23" t="s">
        <v>30</v>
      </c>
      <c r="E23" t="s">
        <v>63</v>
      </c>
      <c r="F23" t="s">
        <v>34</v>
      </c>
      <c r="G23" t="s">
        <v>65</v>
      </c>
      <c r="H23">
        <v>1</v>
      </c>
      <c r="I23">
        <v>1</v>
      </c>
      <c r="J23">
        <v>2</v>
      </c>
      <c r="K23">
        <v>2</v>
      </c>
      <c r="L23">
        <v>20</v>
      </c>
      <c r="M23">
        <v>1.0620000000000001</v>
      </c>
      <c r="N23" s="16">
        <v>74.419749999999993</v>
      </c>
      <c r="O23">
        <v>3</v>
      </c>
      <c r="P23" s="17">
        <v>0.2105002476473502</v>
      </c>
      <c r="Q23" s="14">
        <v>1.2791025155291953</v>
      </c>
      <c r="R23" s="14">
        <f>+Q23*N23</f>
        <v>95.190489430053816</v>
      </c>
      <c r="S23">
        <v>8076</v>
      </c>
      <c r="T23">
        <v>13.4</v>
      </c>
      <c r="U23" s="13">
        <v>8.1000000000000014</v>
      </c>
      <c r="V23">
        <v>1</v>
      </c>
      <c r="W23">
        <v>0</v>
      </c>
      <c r="X23">
        <v>2</v>
      </c>
      <c r="Y23">
        <v>0</v>
      </c>
      <c r="Z23">
        <v>0</v>
      </c>
      <c r="AA23">
        <v>1</v>
      </c>
      <c r="AB23">
        <v>3</v>
      </c>
      <c r="AC23">
        <v>3</v>
      </c>
      <c r="AD23">
        <v>0.74259743488394214</v>
      </c>
    </row>
    <row r="24" spans="1:30" x14ac:dyDescent="0.3">
      <c r="A24">
        <v>23</v>
      </c>
      <c r="B24">
        <v>12</v>
      </c>
      <c r="C24" t="s">
        <v>30</v>
      </c>
      <c r="D24" t="s">
        <v>30</v>
      </c>
      <c r="E24" t="s">
        <v>66</v>
      </c>
      <c r="F24" t="s">
        <v>32</v>
      </c>
      <c r="G24" t="s">
        <v>67</v>
      </c>
      <c r="H24">
        <v>4</v>
      </c>
      <c r="I24">
        <v>4</v>
      </c>
      <c r="J24">
        <v>3</v>
      </c>
      <c r="K24">
        <v>3</v>
      </c>
      <c r="L24">
        <v>26</v>
      </c>
      <c r="M24">
        <v>1.169</v>
      </c>
      <c r="N24" s="16">
        <v>87.852599999999995</v>
      </c>
      <c r="O24">
        <v>4</v>
      </c>
      <c r="P24" s="17">
        <v>0.16420361247947449</v>
      </c>
      <c r="Q24" s="14">
        <v>0.85394939911117718</v>
      </c>
      <c r="R24" s="14">
        <f>+Q24*N24</f>
        <v>75.021674980354604</v>
      </c>
      <c r="S24">
        <v>7917</v>
      </c>
      <c r="T24">
        <v>16.5</v>
      </c>
      <c r="U24" s="13">
        <v>9.7999999999999989</v>
      </c>
      <c r="V24">
        <v>0</v>
      </c>
      <c r="W24">
        <v>2</v>
      </c>
      <c r="X24">
        <v>2</v>
      </c>
      <c r="Y24">
        <v>0</v>
      </c>
      <c r="Z24">
        <v>0</v>
      </c>
      <c r="AA24">
        <v>1</v>
      </c>
      <c r="AB24">
        <v>4</v>
      </c>
      <c r="AC24">
        <v>4</v>
      </c>
      <c r="AD24">
        <v>0.81679993540229934</v>
      </c>
    </row>
    <row r="25" spans="1:30" x14ac:dyDescent="0.3">
      <c r="A25">
        <v>24</v>
      </c>
      <c r="B25">
        <v>12</v>
      </c>
      <c r="C25" t="s">
        <v>30</v>
      </c>
      <c r="D25" t="s">
        <v>30</v>
      </c>
      <c r="E25" t="s">
        <v>66</v>
      </c>
      <c r="F25" t="s">
        <v>34</v>
      </c>
      <c r="G25" t="s">
        <v>68</v>
      </c>
      <c r="H25">
        <v>4</v>
      </c>
      <c r="I25">
        <v>3</v>
      </c>
      <c r="J25">
        <v>4</v>
      </c>
      <c r="K25">
        <v>4</v>
      </c>
      <c r="L25">
        <v>26</v>
      </c>
      <c r="M25">
        <v>1.169</v>
      </c>
      <c r="N25" s="16">
        <v>87.852599999999995</v>
      </c>
      <c r="O25">
        <v>4</v>
      </c>
      <c r="P25" s="17">
        <v>0.16420361247947449</v>
      </c>
      <c r="Q25" s="14">
        <v>0.85394939911117718</v>
      </c>
      <c r="R25" s="14">
        <f>+Q25*N25</f>
        <v>75.021674980354604</v>
      </c>
      <c r="S25">
        <v>7917</v>
      </c>
      <c r="T25">
        <v>13.8</v>
      </c>
      <c r="U25" s="13">
        <v>9.4</v>
      </c>
      <c r="V25">
        <v>1</v>
      </c>
      <c r="W25">
        <v>4</v>
      </c>
      <c r="X25">
        <v>1</v>
      </c>
      <c r="Y25">
        <v>0</v>
      </c>
      <c r="Z25">
        <v>0</v>
      </c>
      <c r="AA25">
        <v>1</v>
      </c>
      <c r="AB25">
        <v>2</v>
      </c>
      <c r="AC25">
        <v>2</v>
      </c>
      <c r="AD25">
        <v>0.821355158024482</v>
      </c>
    </row>
    <row r="26" spans="1:30" x14ac:dyDescent="0.3">
      <c r="A26">
        <v>25</v>
      </c>
      <c r="B26">
        <v>13</v>
      </c>
      <c r="C26" t="s">
        <v>30</v>
      </c>
      <c r="D26" t="s">
        <v>30</v>
      </c>
      <c r="E26" t="s">
        <v>69</v>
      </c>
      <c r="F26" t="s">
        <v>32</v>
      </c>
      <c r="G26" t="s">
        <v>70</v>
      </c>
      <c r="H26">
        <v>2</v>
      </c>
      <c r="I26">
        <v>3</v>
      </c>
      <c r="J26">
        <v>3</v>
      </c>
      <c r="K26">
        <v>3</v>
      </c>
      <c r="L26">
        <v>15</v>
      </c>
      <c r="M26">
        <v>1.2809999999999999</v>
      </c>
      <c r="N26" s="16">
        <v>47.720272727272729</v>
      </c>
      <c r="O26">
        <v>4</v>
      </c>
      <c r="P26" s="17">
        <v>0.20600353148911121</v>
      </c>
      <c r="Q26" s="14">
        <v>2.0405301266870559</v>
      </c>
      <c r="R26" s="14">
        <f>+Q26*N26</f>
        <v>97.374654153722673</v>
      </c>
      <c r="S26">
        <v>6796</v>
      </c>
      <c r="T26">
        <v>21.9</v>
      </c>
      <c r="U26" s="13">
        <v>9.5749999999999993</v>
      </c>
      <c r="V26">
        <v>1</v>
      </c>
      <c r="W26">
        <v>4</v>
      </c>
      <c r="X26">
        <v>2</v>
      </c>
      <c r="Y26">
        <v>1</v>
      </c>
      <c r="Z26">
        <v>0</v>
      </c>
      <c r="AA26">
        <v>1</v>
      </c>
      <c r="AB26">
        <v>4</v>
      </c>
      <c r="AC26">
        <v>4</v>
      </c>
      <c r="AD26">
        <v>0.90645364592347777</v>
      </c>
    </row>
    <row r="27" spans="1:30" s="13" customFormat="1" x14ac:dyDescent="0.3">
      <c r="A27">
        <v>26</v>
      </c>
      <c r="B27">
        <v>13</v>
      </c>
      <c r="C27" t="s">
        <v>30</v>
      </c>
      <c r="D27" t="s">
        <v>30</v>
      </c>
      <c r="E27" t="s">
        <v>69</v>
      </c>
      <c r="F27" t="s">
        <v>34</v>
      </c>
      <c r="G27" t="s">
        <v>71</v>
      </c>
      <c r="H27">
        <v>2</v>
      </c>
      <c r="I27">
        <v>4</v>
      </c>
      <c r="J27">
        <v>4</v>
      </c>
      <c r="K27">
        <v>4</v>
      </c>
      <c r="L27">
        <v>16</v>
      </c>
      <c r="M27">
        <v>1.2809999999999999</v>
      </c>
      <c r="N27" s="16">
        <v>47.720272727272729</v>
      </c>
      <c r="O27">
        <v>4</v>
      </c>
      <c r="P27" s="17">
        <v>0.20600353148911121</v>
      </c>
      <c r="Q27" s="14">
        <v>2.0405301266870559</v>
      </c>
      <c r="R27" s="14">
        <f>+Q27*N27</f>
        <v>97.374654153722673</v>
      </c>
      <c r="S27">
        <v>6796</v>
      </c>
      <c r="T27">
        <v>22.3</v>
      </c>
      <c r="U27" s="13">
        <v>7.3000000000000007</v>
      </c>
      <c r="V27">
        <v>1</v>
      </c>
      <c r="W27">
        <v>3</v>
      </c>
      <c r="X27">
        <v>2</v>
      </c>
      <c r="Y27">
        <v>1</v>
      </c>
      <c r="Z27">
        <v>0</v>
      </c>
      <c r="AA27">
        <v>2</v>
      </c>
      <c r="AB27">
        <v>4</v>
      </c>
      <c r="AC27">
        <v>4</v>
      </c>
      <c r="AD27">
        <v>0.90643089254365639</v>
      </c>
    </row>
    <row r="28" spans="1:30" x14ac:dyDescent="0.3">
      <c r="A28">
        <v>27</v>
      </c>
      <c r="B28">
        <v>14</v>
      </c>
      <c r="C28" t="s">
        <v>30</v>
      </c>
      <c r="D28" t="s">
        <v>30</v>
      </c>
      <c r="E28" t="s">
        <v>72</v>
      </c>
      <c r="F28" t="s">
        <v>32</v>
      </c>
      <c r="G28" t="s">
        <v>73</v>
      </c>
      <c r="H28">
        <v>3</v>
      </c>
      <c r="I28">
        <v>3</v>
      </c>
      <c r="J28">
        <v>2</v>
      </c>
      <c r="K28">
        <v>2</v>
      </c>
      <c r="L28">
        <v>12</v>
      </c>
      <c r="M28">
        <v>1.5129999999999999</v>
      </c>
      <c r="N28" s="16">
        <v>59.775833333333338</v>
      </c>
      <c r="O28">
        <v>4</v>
      </c>
      <c r="P28" s="17">
        <v>0.34602076124567482</v>
      </c>
      <c r="Q28" s="14">
        <v>2.9134750453915252</v>
      </c>
      <c r="R28" s="14">
        <f>+Q28*N28</f>
        <v>174.1553987341496</v>
      </c>
      <c r="S28">
        <v>4335</v>
      </c>
      <c r="T28">
        <v>21.5</v>
      </c>
      <c r="U28" s="13">
        <v>8.8750000000000995</v>
      </c>
      <c r="V28">
        <v>1</v>
      </c>
      <c r="W28">
        <v>4</v>
      </c>
      <c r="X28">
        <v>2</v>
      </c>
      <c r="Y28">
        <v>2</v>
      </c>
      <c r="Z28">
        <v>2</v>
      </c>
      <c r="AA28">
        <v>0</v>
      </c>
      <c r="AB28">
        <v>3</v>
      </c>
      <c r="AC28">
        <v>3</v>
      </c>
      <c r="AD28">
        <v>0.93495776488681293</v>
      </c>
    </row>
    <row r="29" spans="1:30" x14ac:dyDescent="0.3">
      <c r="A29">
        <v>28</v>
      </c>
      <c r="B29">
        <v>14</v>
      </c>
      <c r="C29" t="s">
        <v>30</v>
      </c>
      <c r="D29" t="s">
        <v>30</v>
      </c>
      <c r="E29" t="s">
        <v>72</v>
      </c>
      <c r="F29" t="s">
        <v>34</v>
      </c>
      <c r="G29" t="s">
        <v>74</v>
      </c>
      <c r="H29">
        <v>3</v>
      </c>
      <c r="I29">
        <v>3</v>
      </c>
      <c r="J29">
        <v>2</v>
      </c>
      <c r="K29">
        <v>3</v>
      </c>
      <c r="L29">
        <v>14</v>
      </c>
      <c r="M29">
        <v>1.5129999999999999</v>
      </c>
      <c r="N29" s="16">
        <v>59.775833333333338</v>
      </c>
      <c r="O29">
        <v>4</v>
      </c>
      <c r="P29" s="17">
        <v>0.34602076124567482</v>
      </c>
      <c r="Q29" s="14">
        <v>2.9134750453915252</v>
      </c>
      <c r="R29" s="14">
        <f>+Q29*N29</f>
        <v>174.1553987341496</v>
      </c>
      <c r="S29">
        <v>4335</v>
      </c>
      <c r="T29">
        <v>20.3</v>
      </c>
      <c r="U29" s="13">
        <v>7.8500000000000014</v>
      </c>
      <c r="V29">
        <v>0</v>
      </c>
      <c r="W29">
        <v>4</v>
      </c>
      <c r="X29">
        <v>2</v>
      </c>
      <c r="Y29">
        <v>2</v>
      </c>
      <c r="Z29">
        <v>2</v>
      </c>
      <c r="AA29">
        <v>1</v>
      </c>
      <c r="AB29">
        <v>3</v>
      </c>
      <c r="AC29">
        <v>3</v>
      </c>
      <c r="AD29">
        <v>0.89534887546761377</v>
      </c>
    </row>
    <row r="30" spans="1:30" s="13" customFormat="1" x14ac:dyDescent="0.3">
      <c r="A30">
        <v>29</v>
      </c>
      <c r="B30">
        <v>15</v>
      </c>
      <c r="C30" t="s">
        <v>30</v>
      </c>
      <c r="D30" t="s">
        <v>30</v>
      </c>
      <c r="E30" t="s">
        <v>75</v>
      </c>
      <c r="F30" t="s">
        <v>32</v>
      </c>
      <c r="G30" t="s">
        <v>76</v>
      </c>
      <c r="H30">
        <v>4</v>
      </c>
      <c r="I30">
        <v>2</v>
      </c>
      <c r="J30">
        <v>1</v>
      </c>
      <c r="K30">
        <v>2</v>
      </c>
      <c r="L30">
        <v>14</v>
      </c>
      <c r="M30">
        <v>1.4039999999999999</v>
      </c>
      <c r="N30" s="16">
        <v>80.503727272727275</v>
      </c>
      <c r="O30">
        <v>4</v>
      </c>
      <c r="P30" s="17">
        <v>0.25821259503658012</v>
      </c>
      <c r="Q30" s="14">
        <v>1.6569421314080623</v>
      </c>
      <c r="R30" s="14">
        <f>+Q30*N30</f>
        <v>133.39001745356609</v>
      </c>
      <c r="S30">
        <v>6971</v>
      </c>
      <c r="T30">
        <v>19.45</v>
      </c>
      <c r="U30" s="13">
        <v>9.1999999999999993</v>
      </c>
      <c r="V30">
        <v>1</v>
      </c>
      <c r="W30">
        <v>2</v>
      </c>
      <c r="X30">
        <v>2</v>
      </c>
      <c r="Y30">
        <v>0</v>
      </c>
      <c r="Z30">
        <v>1</v>
      </c>
      <c r="AA30">
        <v>1</v>
      </c>
      <c r="AB30">
        <v>5</v>
      </c>
      <c r="AC30">
        <v>5</v>
      </c>
      <c r="AD30">
        <v>0.91546190690479112</v>
      </c>
    </row>
    <row r="31" spans="1:30" x14ac:dyDescent="0.3">
      <c r="A31">
        <v>30</v>
      </c>
      <c r="B31">
        <v>15</v>
      </c>
      <c r="C31" t="s">
        <v>30</v>
      </c>
      <c r="D31" t="s">
        <v>30</v>
      </c>
      <c r="E31" t="s">
        <v>75</v>
      </c>
      <c r="F31" t="s">
        <v>34</v>
      </c>
      <c r="G31" t="s">
        <v>77</v>
      </c>
      <c r="H31">
        <v>4</v>
      </c>
      <c r="I31">
        <v>4</v>
      </c>
      <c r="J31">
        <v>3</v>
      </c>
      <c r="K31">
        <v>2</v>
      </c>
      <c r="L31">
        <v>22</v>
      </c>
      <c r="M31">
        <v>1.4039999999999999</v>
      </c>
      <c r="N31" s="16">
        <v>80.503727272727275</v>
      </c>
      <c r="O31">
        <v>4</v>
      </c>
      <c r="P31" s="17">
        <v>0.25821259503658012</v>
      </c>
      <c r="Q31" s="14">
        <v>1.6569421314080623</v>
      </c>
      <c r="R31" s="14">
        <f>+Q31*N31</f>
        <v>133.39001745356609</v>
      </c>
      <c r="S31">
        <v>6971</v>
      </c>
      <c r="T31">
        <v>19.05</v>
      </c>
      <c r="U31" s="13">
        <v>8</v>
      </c>
      <c r="V31">
        <v>0</v>
      </c>
      <c r="W31">
        <v>2</v>
      </c>
      <c r="X31">
        <v>1</v>
      </c>
      <c r="Y31">
        <v>0</v>
      </c>
      <c r="Z31">
        <v>1</v>
      </c>
      <c r="AA31">
        <v>2</v>
      </c>
      <c r="AB31">
        <v>3</v>
      </c>
      <c r="AC31">
        <v>3</v>
      </c>
      <c r="AD31">
        <v>0.73933796303607235</v>
      </c>
    </row>
    <row r="32" spans="1:30" x14ac:dyDescent="0.3">
      <c r="A32">
        <v>31</v>
      </c>
      <c r="B32">
        <v>16</v>
      </c>
      <c r="C32" t="s">
        <v>30</v>
      </c>
      <c r="D32" t="s">
        <v>30</v>
      </c>
      <c r="E32" t="s">
        <v>78</v>
      </c>
      <c r="F32" t="s">
        <v>32</v>
      </c>
      <c r="G32" t="s">
        <v>79</v>
      </c>
      <c r="H32">
        <v>2</v>
      </c>
      <c r="I32">
        <v>2</v>
      </c>
      <c r="J32">
        <v>2</v>
      </c>
      <c r="K32">
        <v>3</v>
      </c>
      <c r="L32">
        <v>21</v>
      </c>
      <c r="M32">
        <v>1.202</v>
      </c>
      <c r="N32" s="16">
        <v>56.503888888888888</v>
      </c>
      <c r="O32">
        <v>4</v>
      </c>
      <c r="P32" s="17">
        <v>0.24956326428749689</v>
      </c>
      <c r="Q32" s="14">
        <v>2.2847270339003205</v>
      </c>
      <c r="R32" s="14">
        <f>+Q32*N32</f>
        <v>129.09596246494439</v>
      </c>
      <c r="S32">
        <v>4007</v>
      </c>
      <c r="T32">
        <v>23</v>
      </c>
      <c r="U32" s="13">
        <v>6</v>
      </c>
      <c r="V32">
        <v>0</v>
      </c>
      <c r="W32">
        <v>3</v>
      </c>
      <c r="X32">
        <v>2</v>
      </c>
      <c r="Y32">
        <v>1</v>
      </c>
      <c r="Z32">
        <v>0</v>
      </c>
      <c r="AA32">
        <v>0</v>
      </c>
      <c r="AB32">
        <v>5</v>
      </c>
      <c r="AC32">
        <v>4</v>
      </c>
      <c r="AD32">
        <v>0.87515357384121195</v>
      </c>
    </row>
    <row r="33" spans="1:30" x14ac:dyDescent="0.3">
      <c r="A33">
        <v>32</v>
      </c>
      <c r="B33">
        <v>16</v>
      </c>
      <c r="C33" t="s">
        <v>30</v>
      </c>
      <c r="D33" t="s">
        <v>30</v>
      </c>
      <c r="E33" t="s">
        <v>78</v>
      </c>
      <c r="F33" t="s">
        <v>34</v>
      </c>
      <c r="G33" t="s">
        <v>80</v>
      </c>
      <c r="H33">
        <v>2</v>
      </c>
      <c r="I33">
        <v>2</v>
      </c>
      <c r="J33">
        <v>3</v>
      </c>
      <c r="K33">
        <v>2</v>
      </c>
      <c r="L33">
        <v>13</v>
      </c>
      <c r="M33">
        <v>1.202</v>
      </c>
      <c r="N33" s="16">
        <v>56.503888888888888</v>
      </c>
      <c r="O33">
        <v>4</v>
      </c>
      <c r="P33" s="17">
        <v>0.24956326428749689</v>
      </c>
      <c r="Q33" s="14">
        <v>2.2847270339003205</v>
      </c>
      <c r="R33" s="14">
        <f>+Q33*N33</f>
        <v>129.09596246494439</v>
      </c>
      <c r="S33">
        <v>4007</v>
      </c>
      <c r="T33">
        <v>22.2</v>
      </c>
      <c r="U33" s="13">
        <v>6.1999999999999993</v>
      </c>
      <c r="V33">
        <v>1</v>
      </c>
      <c r="W33">
        <v>3</v>
      </c>
      <c r="X33">
        <v>1</v>
      </c>
      <c r="Y33">
        <v>1</v>
      </c>
      <c r="Z33">
        <v>1</v>
      </c>
      <c r="AA33">
        <v>1</v>
      </c>
      <c r="AB33">
        <v>2</v>
      </c>
      <c r="AC33">
        <v>2</v>
      </c>
      <c r="AD33">
        <v>0.89901903490079249</v>
      </c>
    </row>
    <row r="34" spans="1:30" x14ac:dyDescent="0.3">
      <c r="A34">
        <v>33</v>
      </c>
      <c r="B34">
        <v>17</v>
      </c>
      <c r="C34" t="s">
        <v>30</v>
      </c>
      <c r="D34" t="s">
        <v>30</v>
      </c>
      <c r="E34" t="s">
        <v>81</v>
      </c>
      <c r="F34" t="s">
        <v>32</v>
      </c>
      <c r="G34" t="s">
        <v>82</v>
      </c>
      <c r="H34">
        <v>2</v>
      </c>
      <c r="I34">
        <v>1</v>
      </c>
      <c r="J34">
        <v>2</v>
      </c>
      <c r="K34">
        <v>2</v>
      </c>
      <c r="L34">
        <v>13</v>
      </c>
      <c r="M34">
        <v>2.0840000000000001</v>
      </c>
      <c r="N34" s="16">
        <v>63.499499999999998</v>
      </c>
      <c r="O34">
        <v>3</v>
      </c>
      <c r="P34" s="17">
        <v>0.2299811833577253</v>
      </c>
      <c r="Q34" s="14">
        <v>1.8769553516792257</v>
      </c>
      <c r="R34" s="14">
        <f>+Q34*N34</f>
        <v>119.18572635395499</v>
      </c>
      <c r="S34">
        <v>4783</v>
      </c>
      <c r="T34">
        <v>23</v>
      </c>
      <c r="U34" s="13">
        <v>6.1999999999999993</v>
      </c>
      <c r="V34">
        <v>0</v>
      </c>
      <c r="W34">
        <v>0</v>
      </c>
      <c r="X34">
        <v>2</v>
      </c>
      <c r="Y34">
        <v>0</v>
      </c>
      <c r="Z34">
        <v>0</v>
      </c>
      <c r="AA34">
        <v>1</v>
      </c>
      <c r="AB34">
        <v>2</v>
      </c>
      <c r="AC34">
        <v>2</v>
      </c>
      <c r="AD34">
        <v>0.63725151058125584</v>
      </c>
    </row>
    <row r="35" spans="1:30" x14ac:dyDescent="0.3">
      <c r="A35">
        <v>34</v>
      </c>
      <c r="B35">
        <v>17</v>
      </c>
      <c r="C35" t="s">
        <v>30</v>
      </c>
      <c r="D35" t="s">
        <v>30</v>
      </c>
      <c r="E35" t="s">
        <v>81</v>
      </c>
      <c r="F35" t="s">
        <v>34</v>
      </c>
      <c r="G35" t="s">
        <v>83</v>
      </c>
      <c r="H35">
        <v>2</v>
      </c>
      <c r="I35">
        <v>1</v>
      </c>
      <c r="J35">
        <v>1</v>
      </c>
      <c r="K35">
        <v>1</v>
      </c>
      <c r="L35">
        <v>25</v>
      </c>
      <c r="M35" s="17">
        <v>2.0840000000000001</v>
      </c>
      <c r="N35" s="16">
        <v>63.499499999999998</v>
      </c>
      <c r="O35">
        <v>3</v>
      </c>
      <c r="P35" s="17">
        <v>0.2299811833577253</v>
      </c>
      <c r="Q35" s="14">
        <v>1.8769553516792257</v>
      </c>
      <c r="R35" s="14">
        <f>+Q35*N35</f>
        <v>119.18572635395499</v>
      </c>
      <c r="S35">
        <v>4783</v>
      </c>
      <c r="T35">
        <v>20.7</v>
      </c>
      <c r="U35" s="13">
        <v>6.1000000000000014</v>
      </c>
      <c r="V35">
        <v>0</v>
      </c>
      <c r="W35">
        <v>5</v>
      </c>
      <c r="X35">
        <v>1</v>
      </c>
      <c r="Y35">
        <v>0</v>
      </c>
      <c r="Z35">
        <v>0</v>
      </c>
      <c r="AA35">
        <v>1</v>
      </c>
      <c r="AB35">
        <v>3</v>
      </c>
      <c r="AC35">
        <v>3</v>
      </c>
      <c r="AD35">
        <v>0.87011529651720265</v>
      </c>
    </row>
    <row r="36" spans="1:30" x14ac:dyDescent="0.3">
      <c r="A36" s="13">
        <v>35</v>
      </c>
      <c r="B36" s="13">
        <v>18</v>
      </c>
      <c r="C36" s="13" t="s">
        <v>30</v>
      </c>
      <c r="D36" s="13" t="s">
        <v>84</v>
      </c>
      <c r="E36" s="13" t="s">
        <v>85</v>
      </c>
      <c r="F36" s="13" t="s">
        <v>32</v>
      </c>
      <c r="G36" s="13" t="s">
        <v>86</v>
      </c>
      <c r="H36" s="13">
        <v>3</v>
      </c>
      <c r="I36" s="13">
        <v>4</v>
      </c>
      <c r="J36" s="13">
        <v>3</v>
      </c>
      <c r="K36" s="13">
        <v>3</v>
      </c>
      <c r="L36" s="13">
        <v>19</v>
      </c>
      <c r="M36" s="13">
        <v>1.329</v>
      </c>
      <c r="N36" s="14">
        <v>26.303374999999999</v>
      </c>
      <c r="O36" s="13">
        <v>4</v>
      </c>
      <c r="P36" s="15">
        <v>6.0882305062672959</v>
      </c>
      <c r="Q36" s="14">
        <v>21.614983585665893</v>
      </c>
      <c r="R36" s="14">
        <f>+Q36*N36</f>
        <v>568.54701887261456</v>
      </c>
      <c r="S36" s="13">
        <v>6143</v>
      </c>
      <c r="T36" s="13">
        <v>21.2</v>
      </c>
      <c r="U36" s="13">
        <v>9.5</v>
      </c>
      <c r="V36">
        <v>1</v>
      </c>
      <c r="W36">
        <v>4</v>
      </c>
      <c r="X36">
        <v>1</v>
      </c>
      <c r="Y36">
        <v>1</v>
      </c>
      <c r="Z36">
        <v>1</v>
      </c>
      <c r="AA36">
        <v>0</v>
      </c>
      <c r="AB36">
        <v>3</v>
      </c>
      <c r="AC36">
        <v>3</v>
      </c>
      <c r="AD36">
        <v>0.93198550084358756</v>
      </c>
    </row>
    <row r="37" spans="1:30" s="13" customFormat="1" x14ac:dyDescent="0.3">
      <c r="A37" s="13">
        <v>36</v>
      </c>
      <c r="B37" s="13">
        <v>18</v>
      </c>
      <c r="C37" s="13" t="s">
        <v>30</v>
      </c>
      <c r="D37" s="13" t="s">
        <v>84</v>
      </c>
      <c r="E37" s="13" t="s">
        <v>85</v>
      </c>
      <c r="F37" s="13" t="s">
        <v>34</v>
      </c>
      <c r="G37" s="13" t="s">
        <v>87</v>
      </c>
      <c r="H37" s="13">
        <v>3</v>
      </c>
      <c r="I37" s="13">
        <v>4</v>
      </c>
      <c r="J37" s="13">
        <v>4</v>
      </c>
      <c r="K37" s="13">
        <v>3</v>
      </c>
      <c r="L37" s="13">
        <v>28</v>
      </c>
      <c r="M37" s="15">
        <v>1.329</v>
      </c>
      <c r="N37" s="14">
        <v>26.303374999999999</v>
      </c>
      <c r="O37" s="13">
        <v>4</v>
      </c>
      <c r="P37" s="15">
        <v>6.0882305062672959</v>
      </c>
      <c r="Q37" s="14">
        <v>21.614983585665893</v>
      </c>
      <c r="R37" s="14">
        <f>+Q37*N37</f>
        <v>568.54701887261456</v>
      </c>
      <c r="S37" s="13">
        <v>6143</v>
      </c>
      <c r="T37" s="13">
        <v>20</v>
      </c>
      <c r="U37" s="13">
        <v>12.5</v>
      </c>
      <c r="V37">
        <v>1</v>
      </c>
      <c r="W37">
        <v>4</v>
      </c>
      <c r="X37">
        <v>1</v>
      </c>
      <c r="Y37">
        <v>1</v>
      </c>
      <c r="Z37">
        <v>1</v>
      </c>
      <c r="AA37">
        <v>0</v>
      </c>
      <c r="AB37">
        <v>2</v>
      </c>
      <c r="AC37">
        <v>2</v>
      </c>
      <c r="AD37">
        <v>0.96039111058080096</v>
      </c>
    </row>
    <row r="38" spans="1:30" x14ac:dyDescent="0.3">
      <c r="A38">
        <v>37</v>
      </c>
      <c r="B38">
        <v>19</v>
      </c>
      <c r="C38" t="s">
        <v>30</v>
      </c>
      <c r="D38" t="s">
        <v>84</v>
      </c>
      <c r="E38" t="s">
        <v>88</v>
      </c>
      <c r="F38" t="s">
        <v>32</v>
      </c>
      <c r="G38" t="s">
        <v>89</v>
      </c>
      <c r="H38">
        <v>2</v>
      </c>
      <c r="I38">
        <v>3</v>
      </c>
      <c r="J38">
        <v>2</v>
      </c>
      <c r="K38">
        <v>2</v>
      </c>
      <c r="L38">
        <v>16</v>
      </c>
      <c r="M38">
        <v>1.095</v>
      </c>
      <c r="N38" s="16">
        <v>22.854857142857149</v>
      </c>
      <c r="O38">
        <v>4</v>
      </c>
      <c r="P38" s="17">
        <v>1.583645263460985</v>
      </c>
      <c r="Q38" s="14">
        <v>9.5355179278628253</v>
      </c>
      <c r="R38" s="14">
        <f>+Q38*N38</f>
        <v>217.93290002445809</v>
      </c>
      <c r="S38">
        <v>3473</v>
      </c>
      <c r="T38">
        <v>20.6</v>
      </c>
      <c r="U38" s="13">
        <v>9.9000000000000021</v>
      </c>
      <c r="V38">
        <v>1</v>
      </c>
      <c r="W38">
        <v>4</v>
      </c>
      <c r="X38">
        <v>1</v>
      </c>
      <c r="Y38">
        <v>1</v>
      </c>
      <c r="Z38">
        <v>1</v>
      </c>
      <c r="AA38">
        <v>0</v>
      </c>
      <c r="AB38">
        <v>4</v>
      </c>
      <c r="AC38">
        <v>4</v>
      </c>
      <c r="AD38">
        <v>0.92098385887507805</v>
      </c>
    </row>
    <row r="39" spans="1:30" x14ac:dyDescent="0.3">
      <c r="A39">
        <v>38</v>
      </c>
      <c r="B39">
        <v>19</v>
      </c>
      <c r="C39" t="s">
        <v>30</v>
      </c>
      <c r="D39" t="s">
        <v>84</v>
      </c>
      <c r="E39" t="s">
        <v>88</v>
      </c>
      <c r="F39" t="s">
        <v>34</v>
      </c>
      <c r="G39" t="s">
        <v>90</v>
      </c>
      <c r="H39">
        <v>2</v>
      </c>
      <c r="I39">
        <v>3</v>
      </c>
      <c r="J39">
        <v>3</v>
      </c>
      <c r="K39">
        <v>2</v>
      </c>
      <c r="L39">
        <v>22</v>
      </c>
      <c r="M39" s="17">
        <v>1.095</v>
      </c>
      <c r="N39" s="16">
        <v>22.854857142857149</v>
      </c>
      <c r="O39">
        <v>4</v>
      </c>
      <c r="P39" s="17">
        <v>1.583645263460985</v>
      </c>
      <c r="Q39" s="14">
        <v>9.5355179278628253</v>
      </c>
      <c r="R39" s="14">
        <f>+Q39*N39</f>
        <v>217.93290002445809</v>
      </c>
      <c r="S39">
        <v>3473</v>
      </c>
      <c r="T39">
        <v>20.100000000000001</v>
      </c>
      <c r="U39" s="13">
        <v>11.8</v>
      </c>
      <c r="V39">
        <v>1</v>
      </c>
      <c r="W39">
        <v>3</v>
      </c>
      <c r="X39">
        <v>0</v>
      </c>
      <c r="Y39">
        <v>1</v>
      </c>
      <c r="Z39">
        <v>1</v>
      </c>
      <c r="AA39">
        <v>0</v>
      </c>
      <c r="AB39">
        <v>2</v>
      </c>
      <c r="AC39">
        <v>2</v>
      </c>
      <c r="AD39">
        <v>0.84168248433535653</v>
      </c>
    </row>
    <row r="40" spans="1:30" x14ac:dyDescent="0.3">
      <c r="A40">
        <v>39</v>
      </c>
      <c r="B40">
        <v>20</v>
      </c>
      <c r="C40" t="s">
        <v>30</v>
      </c>
      <c r="D40" t="s">
        <v>84</v>
      </c>
      <c r="E40" t="s">
        <v>91</v>
      </c>
      <c r="F40" t="s">
        <v>32</v>
      </c>
      <c r="G40" t="s">
        <v>92</v>
      </c>
      <c r="H40">
        <v>1</v>
      </c>
      <c r="I40">
        <v>4</v>
      </c>
      <c r="J40">
        <v>4</v>
      </c>
      <c r="K40">
        <v>2</v>
      </c>
      <c r="L40">
        <v>21</v>
      </c>
      <c r="M40">
        <v>1.071</v>
      </c>
      <c r="N40" s="16">
        <v>32.95128571428571</v>
      </c>
      <c r="O40">
        <v>4</v>
      </c>
      <c r="P40" s="17">
        <v>1.0028972587474929</v>
      </c>
      <c r="Q40" s="14">
        <v>5.0056048812414122</v>
      </c>
      <c r="R40" s="14">
        <f>+Q40*N40</f>
        <v>164.94111661460897</v>
      </c>
      <c r="S40">
        <v>4487</v>
      </c>
      <c r="T40">
        <v>21.6</v>
      </c>
      <c r="U40" s="13">
        <v>12.5</v>
      </c>
      <c r="V40">
        <v>1</v>
      </c>
      <c r="W40">
        <v>3</v>
      </c>
      <c r="X40">
        <v>1</v>
      </c>
      <c r="Y40">
        <v>1</v>
      </c>
      <c r="Z40">
        <v>1</v>
      </c>
      <c r="AA40">
        <v>0</v>
      </c>
      <c r="AB40">
        <v>3</v>
      </c>
      <c r="AC40">
        <v>3</v>
      </c>
      <c r="AD40">
        <v>0.8232679236098599</v>
      </c>
    </row>
    <row r="41" spans="1:30" s="13" customFormat="1" x14ac:dyDescent="0.3">
      <c r="A41">
        <v>40</v>
      </c>
      <c r="B41">
        <v>20</v>
      </c>
      <c r="C41" t="s">
        <v>30</v>
      </c>
      <c r="D41" t="s">
        <v>84</v>
      </c>
      <c r="E41" t="s">
        <v>91</v>
      </c>
      <c r="F41" t="s">
        <v>34</v>
      </c>
      <c r="G41" t="s">
        <v>93</v>
      </c>
      <c r="H41">
        <v>1</v>
      </c>
      <c r="I41">
        <v>2</v>
      </c>
      <c r="J41">
        <v>1</v>
      </c>
      <c r="K41">
        <v>1</v>
      </c>
      <c r="L41">
        <v>22</v>
      </c>
      <c r="M41" s="17">
        <v>1.071</v>
      </c>
      <c r="N41" s="16">
        <v>32.95128571428571</v>
      </c>
      <c r="O41">
        <v>4</v>
      </c>
      <c r="P41" s="17">
        <v>1.0028972587474929</v>
      </c>
      <c r="Q41" s="14">
        <v>5.0056048812414122</v>
      </c>
      <c r="R41" s="14">
        <f>+Q41*N41</f>
        <v>164.94111661460897</v>
      </c>
      <c r="S41">
        <v>4487</v>
      </c>
      <c r="T41">
        <v>19.350000000000001</v>
      </c>
      <c r="U41" s="13">
        <v>9.6750000000000007</v>
      </c>
      <c r="V41">
        <v>1</v>
      </c>
      <c r="W41">
        <v>3</v>
      </c>
      <c r="X41">
        <v>0</v>
      </c>
      <c r="Y41">
        <v>1</v>
      </c>
      <c r="Z41">
        <v>0</v>
      </c>
      <c r="AA41">
        <v>0</v>
      </c>
      <c r="AB41">
        <v>4</v>
      </c>
      <c r="AC41">
        <v>4</v>
      </c>
      <c r="AD41">
        <v>0.81535510413526702</v>
      </c>
    </row>
    <row r="42" spans="1:30" x14ac:dyDescent="0.3">
      <c r="A42">
        <v>41</v>
      </c>
      <c r="B42">
        <v>21</v>
      </c>
      <c r="C42" t="s">
        <v>30</v>
      </c>
      <c r="D42" t="s">
        <v>84</v>
      </c>
      <c r="E42" t="s">
        <v>94</v>
      </c>
      <c r="F42" t="s">
        <v>32</v>
      </c>
      <c r="G42" t="s">
        <v>95</v>
      </c>
      <c r="H42">
        <v>4</v>
      </c>
      <c r="I42">
        <v>2</v>
      </c>
      <c r="J42">
        <v>3</v>
      </c>
      <c r="K42">
        <v>4</v>
      </c>
      <c r="L42">
        <v>16</v>
      </c>
      <c r="M42">
        <v>1.083</v>
      </c>
      <c r="N42" s="16">
        <v>75.330399999999997</v>
      </c>
      <c r="O42">
        <v>4</v>
      </c>
      <c r="P42" s="17">
        <v>0.69870240981035225</v>
      </c>
      <c r="Q42" s="14">
        <v>1.6728473637544754</v>
      </c>
      <c r="R42" s="14">
        <f>+Q42*N42</f>
        <v>126.01626105057012</v>
      </c>
      <c r="S42">
        <v>7013</v>
      </c>
      <c r="T42">
        <v>17.2</v>
      </c>
      <c r="U42" s="13">
        <v>8.0249999999999986</v>
      </c>
      <c r="V42">
        <v>1</v>
      </c>
      <c r="W42">
        <v>2</v>
      </c>
      <c r="X42">
        <v>1</v>
      </c>
      <c r="Y42">
        <v>0</v>
      </c>
      <c r="Z42">
        <v>1</v>
      </c>
      <c r="AA42">
        <v>0</v>
      </c>
      <c r="AB42">
        <v>3</v>
      </c>
      <c r="AC42">
        <v>3</v>
      </c>
      <c r="AD42">
        <v>0.81651710496517449</v>
      </c>
    </row>
    <row r="43" spans="1:30" x14ac:dyDescent="0.3">
      <c r="A43">
        <v>42</v>
      </c>
      <c r="B43">
        <v>21</v>
      </c>
      <c r="C43" t="s">
        <v>30</v>
      </c>
      <c r="D43" t="s">
        <v>84</v>
      </c>
      <c r="E43" t="s">
        <v>94</v>
      </c>
      <c r="F43" t="s">
        <v>34</v>
      </c>
      <c r="G43" t="s">
        <v>96</v>
      </c>
      <c r="H43">
        <v>4</v>
      </c>
      <c r="I43">
        <v>3</v>
      </c>
      <c r="J43">
        <v>3</v>
      </c>
      <c r="K43">
        <v>2</v>
      </c>
      <c r="L43">
        <v>26</v>
      </c>
      <c r="M43" s="17">
        <v>1.083</v>
      </c>
      <c r="N43" s="16">
        <v>75.330399999999997</v>
      </c>
      <c r="O43">
        <v>4</v>
      </c>
      <c r="P43" s="17">
        <v>0.69870240981035225</v>
      </c>
      <c r="Q43" s="14">
        <v>1.6728473637544754</v>
      </c>
      <c r="R43" s="14">
        <f>+Q43*N43</f>
        <v>126.01626105057012</v>
      </c>
      <c r="S43">
        <v>7013</v>
      </c>
      <c r="T43">
        <v>17.2</v>
      </c>
      <c r="U43" s="13">
        <v>8.7000000000000011</v>
      </c>
      <c r="V43">
        <v>1</v>
      </c>
      <c r="W43">
        <v>5</v>
      </c>
      <c r="X43">
        <v>1</v>
      </c>
      <c r="Y43">
        <v>1</v>
      </c>
      <c r="Z43">
        <v>2</v>
      </c>
      <c r="AA43">
        <v>0</v>
      </c>
      <c r="AB43">
        <v>4</v>
      </c>
      <c r="AC43">
        <v>4</v>
      </c>
      <c r="AD43">
        <v>0.9565613146006523</v>
      </c>
    </row>
    <row r="44" spans="1:30" x14ac:dyDescent="0.3">
      <c r="A44">
        <v>43</v>
      </c>
      <c r="B44">
        <v>22</v>
      </c>
      <c r="C44" t="s">
        <v>30</v>
      </c>
      <c r="D44" t="s">
        <v>84</v>
      </c>
      <c r="E44" t="s">
        <v>97</v>
      </c>
      <c r="F44" t="s">
        <v>32</v>
      </c>
      <c r="G44" t="s">
        <v>98</v>
      </c>
      <c r="H44">
        <v>2</v>
      </c>
      <c r="I44">
        <v>3</v>
      </c>
      <c r="J44">
        <v>4</v>
      </c>
      <c r="K44">
        <v>3</v>
      </c>
      <c r="L44">
        <v>26</v>
      </c>
      <c r="M44">
        <v>1.089</v>
      </c>
      <c r="N44" s="16">
        <v>64.482500000000002</v>
      </c>
      <c r="O44">
        <v>4</v>
      </c>
      <c r="P44" s="17">
        <v>0.39784694593962089</v>
      </c>
      <c r="Q44" s="14">
        <v>1.3001805978486338</v>
      </c>
      <c r="R44" s="14">
        <f>+Q44*N44</f>
        <v>83.838895400774533</v>
      </c>
      <c r="S44">
        <v>4273</v>
      </c>
      <c r="T44">
        <v>17.5</v>
      </c>
      <c r="U44" s="13">
        <v>15.899999999999999</v>
      </c>
      <c r="V44">
        <v>1</v>
      </c>
      <c r="W44">
        <v>5</v>
      </c>
      <c r="X44">
        <v>0</v>
      </c>
      <c r="Y44">
        <v>3</v>
      </c>
      <c r="Z44">
        <v>1</v>
      </c>
      <c r="AA44">
        <v>0</v>
      </c>
      <c r="AB44">
        <v>5</v>
      </c>
      <c r="AC44">
        <v>4</v>
      </c>
      <c r="AD44">
        <v>0.88175993488763449</v>
      </c>
    </row>
    <row r="45" spans="1:30" x14ac:dyDescent="0.3">
      <c r="A45">
        <v>44</v>
      </c>
      <c r="B45">
        <v>22</v>
      </c>
      <c r="C45" t="s">
        <v>30</v>
      </c>
      <c r="D45" t="s">
        <v>84</v>
      </c>
      <c r="E45" t="s">
        <v>97</v>
      </c>
      <c r="F45" t="s">
        <v>34</v>
      </c>
      <c r="G45" t="s">
        <v>99</v>
      </c>
      <c r="H45">
        <v>2</v>
      </c>
      <c r="I45">
        <v>3</v>
      </c>
      <c r="J45">
        <v>3</v>
      </c>
      <c r="K45">
        <v>2</v>
      </c>
      <c r="L45">
        <v>31</v>
      </c>
      <c r="M45" s="17">
        <v>1.089</v>
      </c>
      <c r="N45" s="16">
        <v>64.482500000000002</v>
      </c>
      <c r="O45">
        <v>4</v>
      </c>
      <c r="P45" s="17">
        <v>0.39784694593962089</v>
      </c>
      <c r="Q45" s="14">
        <v>1.3001805978486338</v>
      </c>
      <c r="R45" s="14">
        <f>+Q45*N45</f>
        <v>83.838895400774533</v>
      </c>
      <c r="S45">
        <v>4273</v>
      </c>
      <c r="T45">
        <v>15.5</v>
      </c>
      <c r="U45" s="13">
        <v>8.2999999999999989</v>
      </c>
      <c r="V45">
        <v>1</v>
      </c>
      <c r="W45">
        <v>6</v>
      </c>
      <c r="X45">
        <v>0</v>
      </c>
      <c r="Y45">
        <v>2</v>
      </c>
      <c r="Z45">
        <v>1</v>
      </c>
      <c r="AA45">
        <v>0</v>
      </c>
      <c r="AB45">
        <v>5</v>
      </c>
      <c r="AC45">
        <v>4</v>
      </c>
      <c r="AD45">
        <v>0.93048202372184052</v>
      </c>
    </row>
    <row r="46" spans="1:30" s="13" customFormat="1" x14ac:dyDescent="0.3">
      <c r="A46">
        <v>45</v>
      </c>
      <c r="B46">
        <v>23</v>
      </c>
      <c r="C46" t="s">
        <v>30</v>
      </c>
      <c r="D46" t="s">
        <v>84</v>
      </c>
      <c r="E46" t="s">
        <v>100</v>
      </c>
      <c r="F46" t="s">
        <v>32</v>
      </c>
      <c r="G46" t="s">
        <v>101</v>
      </c>
      <c r="H46">
        <v>2</v>
      </c>
      <c r="I46">
        <v>2</v>
      </c>
      <c r="J46">
        <v>3</v>
      </c>
      <c r="K46">
        <v>3</v>
      </c>
      <c r="L46">
        <v>22</v>
      </c>
      <c r="M46">
        <v>1.1930000000000001</v>
      </c>
      <c r="N46" s="16">
        <v>37.433199999999999</v>
      </c>
      <c r="O46">
        <v>4</v>
      </c>
      <c r="P46" s="17">
        <v>0.72859744990892528</v>
      </c>
      <c r="Q46" s="14">
        <v>4.3345181426215129</v>
      </c>
      <c r="R46" s="14">
        <f>+Q46*N46</f>
        <v>162.25488453637962</v>
      </c>
      <c r="S46">
        <v>7137</v>
      </c>
      <c r="T46">
        <v>23.3</v>
      </c>
      <c r="U46" s="13">
        <v>10.599999999999998</v>
      </c>
      <c r="V46">
        <v>1</v>
      </c>
      <c r="W46">
        <v>4</v>
      </c>
      <c r="X46">
        <v>0</v>
      </c>
      <c r="Y46">
        <v>1</v>
      </c>
      <c r="Z46">
        <v>1</v>
      </c>
      <c r="AA46">
        <v>0</v>
      </c>
      <c r="AB46">
        <v>2</v>
      </c>
      <c r="AC46">
        <v>2</v>
      </c>
      <c r="AD46">
        <v>0.89076073913594067</v>
      </c>
    </row>
    <row r="47" spans="1:30" x14ac:dyDescent="0.3">
      <c r="A47">
        <v>46</v>
      </c>
      <c r="B47">
        <v>23</v>
      </c>
      <c r="C47" t="s">
        <v>30</v>
      </c>
      <c r="D47" t="s">
        <v>84</v>
      </c>
      <c r="E47" t="s">
        <v>100</v>
      </c>
      <c r="F47" t="s">
        <v>34</v>
      </c>
      <c r="G47" t="s">
        <v>102</v>
      </c>
      <c r="H47">
        <v>2</v>
      </c>
      <c r="I47">
        <v>3</v>
      </c>
      <c r="J47">
        <v>3</v>
      </c>
      <c r="K47">
        <v>2</v>
      </c>
      <c r="L47">
        <v>15</v>
      </c>
      <c r="M47" s="17">
        <v>1.1930000000000001</v>
      </c>
      <c r="N47" s="16">
        <v>37.433199999999999</v>
      </c>
      <c r="O47">
        <v>4</v>
      </c>
      <c r="P47" s="17">
        <v>0.72859744990892528</v>
      </c>
      <c r="Q47" s="14">
        <v>4.3345181426215129</v>
      </c>
      <c r="R47" s="14">
        <f>+Q47*N47</f>
        <v>162.25488453637962</v>
      </c>
      <c r="S47">
        <v>7137</v>
      </c>
      <c r="T47">
        <v>20.399999999999999</v>
      </c>
      <c r="U47" s="13">
        <v>9.3000000000000007</v>
      </c>
      <c r="V47">
        <v>1</v>
      </c>
      <c r="W47">
        <v>3</v>
      </c>
      <c r="X47">
        <v>2</v>
      </c>
      <c r="Y47">
        <v>2</v>
      </c>
      <c r="Z47">
        <v>1</v>
      </c>
      <c r="AA47">
        <v>0</v>
      </c>
      <c r="AB47">
        <v>3</v>
      </c>
      <c r="AC47">
        <v>3</v>
      </c>
      <c r="AD47">
        <v>0.89534887546761377</v>
      </c>
    </row>
    <row r="48" spans="1:30" x14ac:dyDescent="0.3">
      <c r="A48">
        <v>47</v>
      </c>
      <c r="B48">
        <v>24</v>
      </c>
      <c r="C48" t="s">
        <v>30</v>
      </c>
      <c r="D48" t="s">
        <v>84</v>
      </c>
      <c r="E48" t="s">
        <v>103</v>
      </c>
      <c r="F48" t="s">
        <v>32</v>
      </c>
      <c r="G48" t="s">
        <v>104</v>
      </c>
      <c r="H48">
        <v>3</v>
      </c>
      <c r="I48">
        <v>1</v>
      </c>
      <c r="J48">
        <v>1</v>
      </c>
      <c r="K48">
        <v>1</v>
      </c>
      <c r="L48">
        <v>23</v>
      </c>
      <c r="M48">
        <v>1.482</v>
      </c>
      <c r="N48" s="16">
        <v>35.379454545454543</v>
      </c>
      <c r="O48">
        <v>2</v>
      </c>
      <c r="P48" s="17">
        <v>1.77555593863127</v>
      </c>
      <c r="Q48" s="14">
        <v>12.390070499119904</v>
      </c>
      <c r="R48" s="14">
        <f>+Q48*N48</f>
        <v>438.35393603858995</v>
      </c>
      <c r="S48">
        <v>5801</v>
      </c>
      <c r="T48">
        <v>20.85</v>
      </c>
      <c r="U48" s="13">
        <v>13.574999999999902</v>
      </c>
      <c r="V48">
        <v>0</v>
      </c>
      <c r="W48">
        <v>1</v>
      </c>
      <c r="X48">
        <v>1</v>
      </c>
      <c r="Y48">
        <v>1</v>
      </c>
      <c r="Z48">
        <v>1</v>
      </c>
      <c r="AA48">
        <v>0</v>
      </c>
      <c r="AB48">
        <v>4</v>
      </c>
      <c r="AC48">
        <v>4</v>
      </c>
      <c r="AD48">
        <v>0.65858561727585174</v>
      </c>
    </row>
    <row r="49" spans="1:30" x14ac:dyDescent="0.3">
      <c r="A49">
        <v>48</v>
      </c>
      <c r="B49">
        <v>24</v>
      </c>
      <c r="C49" t="s">
        <v>30</v>
      </c>
      <c r="D49" t="s">
        <v>84</v>
      </c>
      <c r="E49" t="s">
        <v>103</v>
      </c>
      <c r="F49" t="s">
        <v>34</v>
      </c>
      <c r="G49" t="s">
        <v>105</v>
      </c>
      <c r="H49">
        <v>3</v>
      </c>
      <c r="I49">
        <v>3</v>
      </c>
      <c r="J49">
        <v>3</v>
      </c>
      <c r="K49">
        <v>3</v>
      </c>
      <c r="L49">
        <v>23</v>
      </c>
      <c r="M49" s="17">
        <v>1.482</v>
      </c>
      <c r="N49" s="16">
        <v>35.379454545454543</v>
      </c>
      <c r="O49">
        <v>4</v>
      </c>
      <c r="P49" s="17">
        <v>1.77555593863127</v>
      </c>
      <c r="Q49" s="14">
        <v>12.390070499119904</v>
      </c>
      <c r="R49" s="14">
        <f>+Q49*N49</f>
        <v>438.35393603858995</v>
      </c>
      <c r="S49">
        <v>5801</v>
      </c>
      <c r="T49">
        <v>24.1</v>
      </c>
      <c r="U49" s="13">
        <v>10.075000000000099</v>
      </c>
      <c r="V49">
        <v>0</v>
      </c>
      <c r="W49">
        <v>2</v>
      </c>
      <c r="X49">
        <v>1</v>
      </c>
      <c r="Y49">
        <v>2</v>
      </c>
      <c r="Z49">
        <v>1</v>
      </c>
      <c r="AA49">
        <v>0</v>
      </c>
      <c r="AB49">
        <v>3</v>
      </c>
      <c r="AC49">
        <v>2</v>
      </c>
      <c r="AD49">
        <v>0.78228751702678978</v>
      </c>
    </row>
    <row r="50" spans="1:30" x14ac:dyDescent="0.3">
      <c r="A50">
        <v>49</v>
      </c>
      <c r="B50">
        <v>25</v>
      </c>
      <c r="C50" t="s">
        <v>30</v>
      </c>
      <c r="D50" t="s">
        <v>84</v>
      </c>
      <c r="E50" t="s">
        <v>106</v>
      </c>
      <c r="F50" t="s">
        <v>32</v>
      </c>
      <c r="G50" t="s">
        <v>107</v>
      </c>
      <c r="H50">
        <v>2</v>
      </c>
      <c r="I50">
        <v>2</v>
      </c>
      <c r="J50">
        <v>2</v>
      </c>
      <c r="K50">
        <v>3</v>
      </c>
      <c r="L50">
        <v>22</v>
      </c>
      <c r="M50">
        <v>1.0409999999999999</v>
      </c>
      <c r="N50" s="16">
        <v>57.106555555555552</v>
      </c>
      <c r="O50">
        <v>4</v>
      </c>
      <c r="P50" s="17">
        <v>0.69235400361228183</v>
      </c>
      <c r="Q50" s="14">
        <v>3.086569101622973</v>
      </c>
      <c r="R50" s="14">
        <f>+Q50*N50</f>
        <v>176.26332987789351</v>
      </c>
      <c r="S50">
        <v>3322</v>
      </c>
      <c r="T50">
        <v>11.6</v>
      </c>
      <c r="U50" s="13">
        <v>7.2000000000000011</v>
      </c>
      <c r="V50">
        <v>0</v>
      </c>
      <c r="W50">
        <v>2</v>
      </c>
      <c r="X50">
        <v>2</v>
      </c>
      <c r="Y50">
        <v>1</v>
      </c>
      <c r="Z50">
        <v>1</v>
      </c>
      <c r="AA50">
        <v>0</v>
      </c>
      <c r="AB50">
        <v>4</v>
      </c>
      <c r="AC50">
        <v>4</v>
      </c>
      <c r="AD50">
        <v>0.77233163190813747</v>
      </c>
    </row>
    <row r="51" spans="1:30" x14ac:dyDescent="0.3">
      <c r="A51">
        <v>50</v>
      </c>
      <c r="B51">
        <v>25</v>
      </c>
      <c r="C51" t="s">
        <v>30</v>
      </c>
      <c r="D51" t="s">
        <v>84</v>
      </c>
      <c r="E51" t="s">
        <v>106</v>
      </c>
      <c r="F51" t="s">
        <v>34</v>
      </c>
      <c r="G51" t="s">
        <v>108</v>
      </c>
      <c r="H51">
        <v>2</v>
      </c>
      <c r="I51">
        <v>3</v>
      </c>
      <c r="J51">
        <v>3</v>
      </c>
      <c r="K51">
        <v>3</v>
      </c>
      <c r="L51">
        <v>24</v>
      </c>
      <c r="M51" s="17">
        <v>1.0409999999999999</v>
      </c>
      <c r="N51" s="16">
        <v>57.106555555555552</v>
      </c>
      <c r="O51">
        <v>4</v>
      </c>
      <c r="P51" s="17">
        <v>0.69235400361228183</v>
      </c>
      <c r="Q51" s="14">
        <v>3.086569101622973</v>
      </c>
      <c r="R51" s="14">
        <f>+Q51*N51</f>
        <v>176.26332987789351</v>
      </c>
      <c r="S51">
        <v>3322</v>
      </c>
      <c r="T51">
        <v>15.2</v>
      </c>
      <c r="U51" s="13">
        <v>7.75</v>
      </c>
      <c r="V51">
        <v>1</v>
      </c>
      <c r="W51">
        <v>3</v>
      </c>
      <c r="X51">
        <v>1</v>
      </c>
      <c r="Y51">
        <v>1</v>
      </c>
      <c r="Z51">
        <v>0</v>
      </c>
      <c r="AA51">
        <v>0</v>
      </c>
      <c r="AB51">
        <v>5</v>
      </c>
      <c r="AC51">
        <v>3</v>
      </c>
      <c r="AD51">
        <v>0.85271729005438479</v>
      </c>
    </row>
    <row r="52" spans="1:30" x14ac:dyDescent="0.3">
      <c r="A52" s="13">
        <v>51</v>
      </c>
      <c r="B52" s="13">
        <v>26</v>
      </c>
      <c r="C52" s="13" t="s">
        <v>30</v>
      </c>
      <c r="D52" s="13" t="s">
        <v>109</v>
      </c>
      <c r="E52" s="13" t="s">
        <v>110</v>
      </c>
      <c r="F52" s="13" t="s">
        <v>32</v>
      </c>
      <c r="G52" s="13" t="s">
        <v>111</v>
      </c>
      <c r="H52" s="13">
        <v>3</v>
      </c>
      <c r="I52" s="13">
        <v>3</v>
      </c>
      <c r="J52" s="13">
        <v>2</v>
      </c>
      <c r="K52" s="13">
        <v>3</v>
      </c>
      <c r="L52" s="13">
        <v>27</v>
      </c>
      <c r="M52" s="13">
        <v>1.252</v>
      </c>
      <c r="N52" s="14">
        <v>13.61078571428571</v>
      </c>
      <c r="O52" s="13">
        <v>4</v>
      </c>
      <c r="P52" s="15">
        <v>1.2031337437045331</v>
      </c>
      <c r="Q52" s="14">
        <v>8.4991780521538232</v>
      </c>
      <c r="R52" s="14">
        <f>+Q52*N52</f>
        <v>115.6804912154259</v>
      </c>
      <c r="S52" s="13">
        <v>7148</v>
      </c>
      <c r="T52" s="13">
        <v>25.3</v>
      </c>
      <c r="U52" s="13">
        <v>9.5999999999999979</v>
      </c>
      <c r="V52">
        <v>1</v>
      </c>
      <c r="W52">
        <v>2</v>
      </c>
      <c r="X52">
        <v>0</v>
      </c>
      <c r="Y52">
        <v>0</v>
      </c>
      <c r="Z52">
        <v>0</v>
      </c>
      <c r="AA52">
        <v>0</v>
      </c>
      <c r="AB52">
        <v>4</v>
      </c>
      <c r="AC52">
        <v>4</v>
      </c>
      <c r="AD52">
        <v>0.75869728258418145</v>
      </c>
    </row>
    <row r="53" spans="1:30" x14ac:dyDescent="0.3">
      <c r="A53" s="13">
        <v>52</v>
      </c>
      <c r="B53" s="13">
        <v>26</v>
      </c>
      <c r="C53" s="13" t="s">
        <v>30</v>
      </c>
      <c r="D53" s="13" t="s">
        <v>109</v>
      </c>
      <c r="E53" s="13" t="s">
        <v>110</v>
      </c>
      <c r="F53" s="13" t="s">
        <v>34</v>
      </c>
      <c r="G53" s="13" t="s">
        <v>112</v>
      </c>
      <c r="H53" s="13">
        <v>3</v>
      </c>
      <c r="I53" s="13">
        <v>3</v>
      </c>
      <c r="J53" s="13">
        <v>3</v>
      </c>
      <c r="K53" s="13">
        <v>3</v>
      </c>
      <c r="L53" s="13">
        <v>28</v>
      </c>
      <c r="M53" s="15">
        <v>1.252</v>
      </c>
      <c r="N53" s="14">
        <v>13.61078571428571</v>
      </c>
      <c r="O53" s="13">
        <v>4</v>
      </c>
      <c r="P53" s="15">
        <v>1.2031337437045331</v>
      </c>
      <c r="Q53" s="14">
        <v>8.4991780521538232</v>
      </c>
      <c r="R53" s="14">
        <f>+Q53*N53</f>
        <v>115.6804912154259</v>
      </c>
      <c r="S53" s="13">
        <v>7148</v>
      </c>
      <c r="T53" s="13">
        <v>24</v>
      </c>
      <c r="U53" s="13">
        <v>9.5</v>
      </c>
      <c r="V53">
        <v>1</v>
      </c>
      <c r="W53">
        <v>4</v>
      </c>
      <c r="X53">
        <v>0</v>
      </c>
      <c r="Y53">
        <v>2</v>
      </c>
      <c r="Z53">
        <v>0</v>
      </c>
      <c r="AA53">
        <v>1</v>
      </c>
      <c r="AB53">
        <v>4</v>
      </c>
      <c r="AC53">
        <v>4</v>
      </c>
      <c r="AD53">
        <v>0.88552336334124127</v>
      </c>
    </row>
    <row r="54" spans="1:30" x14ac:dyDescent="0.3">
      <c r="A54">
        <v>53</v>
      </c>
      <c r="B54">
        <v>27</v>
      </c>
      <c r="C54" t="s">
        <v>30</v>
      </c>
      <c r="D54" t="s">
        <v>109</v>
      </c>
      <c r="E54" t="s">
        <v>113</v>
      </c>
      <c r="F54" t="s">
        <v>32</v>
      </c>
      <c r="G54" t="s">
        <v>114</v>
      </c>
      <c r="H54">
        <v>4</v>
      </c>
      <c r="I54">
        <v>3</v>
      </c>
      <c r="J54">
        <v>3</v>
      </c>
      <c r="K54">
        <v>3</v>
      </c>
      <c r="L54">
        <v>24</v>
      </c>
      <c r="M54">
        <v>1.444</v>
      </c>
      <c r="N54" s="16">
        <v>19.167368421052629</v>
      </c>
      <c r="O54">
        <v>4</v>
      </c>
      <c r="P54" s="17">
        <v>2.6150627615062758</v>
      </c>
      <c r="Q54" s="14">
        <v>18.400846534187441</v>
      </c>
      <c r="R54" s="14">
        <f>+Q54*N54</f>
        <v>352.69580478002007</v>
      </c>
      <c r="S54">
        <v>7648</v>
      </c>
      <c r="T54">
        <v>20.6</v>
      </c>
      <c r="U54" s="13">
        <v>8.1999999999999993</v>
      </c>
      <c r="V54">
        <v>1</v>
      </c>
      <c r="W54">
        <v>4</v>
      </c>
      <c r="X54">
        <v>1</v>
      </c>
      <c r="Y54">
        <v>2</v>
      </c>
      <c r="Z54">
        <v>1</v>
      </c>
      <c r="AA54">
        <v>1</v>
      </c>
      <c r="AB54">
        <v>4</v>
      </c>
      <c r="AC54">
        <v>4</v>
      </c>
      <c r="AD54">
        <v>0.94087313430264152</v>
      </c>
    </row>
    <row r="55" spans="1:30" x14ac:dyDescent="0.3">
      <c r="A55">
        <v>54</v>
      </c>
      <c r="B55">
        <v>27</v>
      </c>
      <c r="C55" t="s">
        <v>30</v>
      </c>
      <c r="D55" t="s">
        <v>109</v>
      </c>
      <c r="E55" t="s">
        <v>113</v>
      </c>
      <c r="F55" t="s">
        <v>34</v>
      </c>
      <c r="G55" t="s">
        <v>115</v>
      </c>
      <c r="H55">
        <v>4</v>
      </c>
      <c r="I55">
        <v>4</v>
      </c>
      <c r="J55">
        <v>3</v>
      </c>
      <c r="K55">
        <v>3</v>
      </c>
      <c r="L55">
        <v>24</v>
      </c>
      <c r="M55" s="17">
        <v>1.444</v>
      </c>
      <c r="N55" s="16">
        <v>19.167368421052629</v>
      </c>
      <c r="O55">
        <v>4</v>
      </c>
      <c r="P55" s="17">
        <v>2.6150627615062758</v>
      </c>
      <c r="Q55" s="14">
        <v>18.400846534187441</v>
      </c>
      <c r="R55" s="14">
        <f>+Q55*N55</f>
        <v>352.69580478002007</v>
      </c>
      <c r="S55">
        <v>7648</v>
      </c>
      <c r="T55">
        <v>20.5</v>
      </c>
      <c r="U55" s="13">
        <v>8.7000000000000011</v>
      </c>
      <c r="V55">
        <v>1</v>
      </c>
      <c r="W55">
        <v>5</v>
      </c>
      <c r="X55">
        <v>0</v>
      </c>
      <c r="Y55">
        <v>2</v>
      </c>
      <c r="Z55">
        <v>1</v>
      </c>
      <c r="AA55">
        <v>0</v>
      </c>
      <c r="AB55">
        <v>4</v>
      </c>
      <c r="AC55">
        <v>4</v>
      </c>
      <c r="AD55">
        <v>0.89278460020920658</v>
      </c>
    </row>
    <row r="56" spans="1:30" x14ac:dyDescent="0.3">
      <c r="A56">
        <v>55</v>
      </c>
      <c r="B56">
        <v>28</v>
      </c>
      <c r="C56" t="s">
        <v>30</v>
      </c>
      <c r="D56" t="s">
        <v>109</v>
      </c>
      <c r="E56" t="s">
        <v>116</v>
      </c>
      <c r="F56" t="s">
        <v>32</v>
      </c>
      <c r="G56" t="s">
        <v>117</v>
      </c>
      <c r="H56">
        <v>3</v>
      </c>
      <c r="I56">
        <v>3</v>
      </c>
      <c r="J56">
        <v>3</v>
      </c>
      <c r="K56">
        <v>3</v>
      </c>
      <c r="L56">
        <v>21</v>
      </c>
      <c r="M56">
        <v>1.339</v>
      </c>
      <c r="N56" s="16">
        <v>25.613350000000001</v>
      </c>
      <c r="O56">
        <v>4</v>
      </c>
      <c r="P56" s="17">
        <v>1.132115774858486</v>
      </c>
      <c r="Q56" s="14">
        <v>7.3010994621158538</v>
      </c>
      <c r="R56" s="14">
        <f>+Q56*N56</f>
        <v>187.00561590798512</v>
      </c>
      <c r="S56">
        <v>9363</v>
      </c>
      <c r="T56">
        <v>21.9</v>
      </c>
      <c r="U56" s="13">
        <v>10.3</v>
      </c>
      <c r="V56">
        <v>0</v>
      </c>
      <c r="W56">
        <v>3</v>
      </c>
      <c r="X56">
        <v>2</v>
      </c>
      <c r="Y56">
        <v>1</v>
      </c>
      <c r="Z56">
        <v>0</v>
      </c>
      <c r="AA56">
        <v>1</v>
      </c>
      <c r="AB56">
        <v>4</v>
      </c>
      <c r="AC56">
        <v>4</v>
      </c>
      <c r="AD56">
        <v>0.85312875919446807</v>
      </c>
    </row>
    <row r="57" spans="1:30" x14ac:dyDescent="0.3">
      <c r="A57">
        <v>56</v>
      </c>
      <c r="B57">
        <v>28</v>
      </c>
      <c r="C57" t="s">
        <v>30</v>
      </c>
      <c r="D57" t="s">
        <v>109</v>
      </c>
      <c r="E57" t="s">
        <v>116</v>
      </c>
      <c r="F57" t="s">
        <v>34</v>
      </c>
      <c r="G57" t="s">
        <v>118</v>
      </c>
      <c r="H57">
        <v>3</v>
      </c>
      <c r="I57">
        <v>2</v>
      </c>
      <c r="J57">
        <v>1</v>
      </c>
      <c r="K57">
        <v>2</v>
      </c>
      <c r="L57">
        <v>13</v>
      </c>
      <c r="M57" s="17">
        <v>1.339</v>
      </c>
      <c r="N57" s="16">
        <v>25.613350000000001</v>
      </c>
      <c r="O57">
        <v>4</v>
      </c>
      <c r="P57" s="17">
        <v>1.132115774858486</v>
      </c>
      <c r="Q57" s="14">
        <v>7.3010994621158538</v>
      </c>
      <c r="R57" s="14">
        <f>+Q57*N57</f>
        <v>187.00561590798512</v>
      </c>
      <c r="S57">
        <v>9363</v>
      </c>
      <c r="T57">
        <v>19.2</v>
      </c>
      <c r="U57" s="13">
        <v>8.1000000000000014</v>
      </c>
      <c r="V57">
        <v>0</v>
      </c>
      <c r="W57">
        <v>2</v>
      </c>
      <c r="X57">
        <v>2</v>
      </c>
      <c r="Y57">
        <v>1</v>
      </c>
      <c r="Z57">
        <v>0</v>
      </c>
      <c r="AA57">
        <v>1</v>
      </c>
      <c r="AB57">
        <v>2</v>
      </c>
      <c r="AC57">
        <v>2</v>
      </c>
      <c r="AD57">
        <v>0.84510402195677359</v>
      </c>
    </row>
    <row r="58" spans="1:30" x14ac:dyDescent="0.3">
      <c r="A58" s="13">
        <v>57</v>
      </c>
      <c r="B58" s="13">
        <v>29</v>
      </c>
      <c r="C58" s="13" t="s">
        <v>119</v>
      </c>
      <c r="D58" s="13" t="s">
        <v>119</v>
      </c>
      <c r="E58" s="13" t="s">
        <v>120</v>
      </c>
      <c r="F58" s="13" t="s">
        <v>32</v>
      </c>
      <c r="G58" s="13" t="s">
        <v>121</v>
      </c>
      <c r="H58" s="13">
        <v>4</v>
      </c>
      <c r="I58" s="13">
        <v>3</v>
      </c>
      <c r="J58" s="13">
        <v>3</v>
      </c>
      <c r="K58" s="13">
        <v>3</v>
      </c>
      <c r="L58" s="13">
        <v>20</v>
      </c>
      <c r="M58" s="13">
        <v>1.216</v>
      </c>
      <c r="N58" s="14">
        <v>10.0951</v>
      </c>
      <c r="O58" s="13">
        <v>4</v>
      </c>
      <c r="P58" s="15">
        <v>1.049952274896595</v>
      </c>
      <c r="Q58" s="14">
        <v>8.5289167361163098</v>
      </c>
      <c r="R58" s="14">
        <f>+Q58*N58</f>
        <v>86.100267342767765</v>
      </c>
      <c r="S58" s="13">
        <v>6286</v>
      </c>
      <c r="T58" s="13">
        <v>23.2</v>
      </c>
      <c r="U58" s="13">
        <v>10.349999999999998</v>
      </c>
      <c r="V58">
        <v>0</v>
      </c>
      <c r="W58">
        <v>2</v>
      </c>
      <c r="X58">
        <v>1</v>
      </c>
      <c r="Y58">
        <v>2</v>
      </c>
      <c r="Z58">
        <v>1</v>
      </c>
      <c r="AA58">
        <v>0</v>
      </c>
      <c r="AB58">
        <v>3</v>
      </c>
      <c r="AC58">
        <v>3</v>
      </c>
      <c r="AD58">
        <v>0.81651710496517449</v>
      </c>
    </row>
    <row r="59" spans="1:30" x14ac:dyDescent="0.3">
      <c r="A59" s="13">
        <v>58</v>
      </c>
      <c r="B59" s="13">
        <v>29</v>
      </c>
      <c r="C59" s="13" t="s">
        <v>119</v>
      </c>
      <c r="D59" s="13" t="s">
        <v>119</v>
      </c>
      <c r="E59" s="13" t="s">
        <v>120</v>
      </c>
      <c r="F59" s="13" t="s">
        <v>34</v>
      </c>
      <c r="G59" s="13" t="s">
        <v>122</v>
      </c>
      <c r="H59" s="13">
        <v>4</v>
      </c>
      <c r="I59" s="13">
        <v>2</v>
      </c>
      <c r="J59" s="13">
        <v>3</v>
      </c>
      <c r="K59" s="13">
        <v>2</v>
      </c>
      <c r="L59" s="13">
        <v>16</v>
      </c>
      <c r="M59" s="15">
        <v>1.216</v>
      </c>
      <c r="N59" s="14">
        <v>10.0951</v>
      </c>
      <c r="O59" s="13">
        <v>4</v>
      </c>
      <c r="P59" s="15">
        <v>1.049952274896595</v>
      </c>
      <c r="Q59" s="14">
        <v>8.5289167361163098</v>
      </c>
      <c r="R59" s="14">
        <f>+Q59*N59</f>
        <v>86.100267342767765</v>
      </c>
      <c r="S59" s="13">
        <v>6286</v>
      </c>
      <c r="T59" s="13">
        <v>17.7</v>
      </c>
      <c r="U59" s="13">
        <v>6.8250000000001005</v>
      </c>
      <c r="V59">
        <v>0</v>
      </c>
      <c r="W59">
        <v>5</v>
      </c>
      <c r="X59">
        <v>1</v>
      </c>
      <c r="Y59">
        <v>2</v>
      </c>
      <c r="Z59">
        <v>2</v>
      </c>
      <c r="AA59">
        <v>1</v>
      </c>
      <c r="AB59">
        <v>4</v>
      </c>
      <c r="AC59">
        <v>4</v>
      </c>
      <c r="AD59">
        <v>0.92200094674855482</v>
      </c>
    </row>
    <row r="60" spans="1:30" x14ac:dyDescent="0.3">
      <c r="A60">
        <v>59</v>
      </c>
      <c r="B60">
        <v>30</v>
      </c>
      <c r="C60" t="s">
        <v>119</v>
      </c>
      <c r="D60" t="s">
        <v>119</v>
      </c>
      <c r="E60" t="s">
        <v>123</v>
      </c>
      <c r="F60" t="s">
        <v>32</v>
      </c>
      <c r="G60" t="s">
        <v>124</v>
      </c>
      <c r="H60">
        <v>3</v>
      </c>
      <c r="I60">
        <v>3</v>
      </c>
      <c r="J60">
        <v>2</v>
      </c>
      <c r="K60">
        <v>2</v>
      </c>
      <c r="L60">
        <v>22</v>
      </c>
      <c r="M60">
        <v>1.212</v>
      </c>
      <c r="N60" s="16">
        <v>12.923937499999999</v>
      </c>
      <c r="O60">
        <v>4</v>
      </c>
      <c r="P60" s="17">
        <v>0.92991608074393284</v>
      </c>
      <c r="Q60" s="14">
        <v>7.402799892328046</v>
      </c>
      <c r="R60" s="14">
        <f>+Q60*N60</f>
        <v>95.673323133454389</v>
      </c>
      <c r="S60">
        <v>8818</v>
      </c>
      <c r="T60">
        <v>19.3</v>
      </c>
      <c r="U60" s="13">
        <v>8.9750000000000014</v>
      </c>
      <c r="V60">
        <v>0</v>
      </c>
      <c r="W60">
        <v>4</v>
      </c>
      <c r="X60">
        <v>2</v>
      </c>
      <c r="Y60">
        <v>2</v>
      </c>
      <c r="Z60">
        <v>0</v>
      </c>
      <c r="AA60">
        <v>1</v>
      </c>
      <c r="AB60">
        <v>3</v>
      </c>
      <c r="AC60">
        <v>3</v>
      </c>
      <c r="AD60">
        <v>0.95597084629691031</v>
      </c>
    </row>
    <row r="61" spans="1:30" x14ac:dyDescent="0.3">
      <c r="A61">
        <v>60</v>
      </c>
      <c r="B61">
        <v>30</v>
      </c>
      <c r="C61" t="s">
        <v>119</v>
      </c>
      <c r="D61" t="s">
        <v>119</v>
      </c>
      <c r="E61" t="s">
        <v>123</v>
      </c>
      <c r="F61" t="s">
        <v>34</v>
      </c>
      <c r="G61" t="s">
        <v>125</v>
      </c>
      <c r="H61">
        <v>3</v>
      </c>
      <c r="I61">
        <v>2</v>
      </c>
      <c r="J61">
        <v>3</v>
      </c>
      <c r="K61">
        <v>3</v>
      </c>
      <c r="L61">
        <v>22</v>
      </c>
      <c r="M61" s="17">
        <v>1.212</v>
      </c>
      <c r="N61" s="16">
        <v>12.923937499999999</v>
      </c>
      <c r="O61">
        <v>4</v>
      </c>
      <c r="P61" s="17">
        <v>0.92991608074393284</v>
      </c>
      <c r="Q61" s="14">
        <v>7.402799892328046</v>
      </c>
      <c r="R61" s="14">
        <f>+Q61*N61</f>
        <v>95.673323133454389</v>
      </c>
      <c r="S61">
        <v>8818</v>
      </c>
      <c r="T61">
        <v>22.2</v>
      </c>
      <c r="U61" s="13">
        <v>8.8999999999999986</v>
      </c>
      <c r="V61">
        <v>1</v>
      </c>
      <c r="W61">
        <v>3</v>
      </c>
      <c r="X61">
        <v>2</v>
      </c>
      <c r="Y61">
        <v>2</v>
      </c>
      <c r="Z61">
        <v>2</v>
      </c>
      <c r="AA61">
        <v>1</v>
      </c>
      <c r="AB61">
        <v>5</v>
      </c>
      <c r="AC61">
        <v>4</v>
      </c>
      <c r="AD61">
        <v>0.9331563885989641</v>
      </c>
    </row>
    <row r="62" spans="1:30" x14ac:dyDescent="0.3">
      <c r="A62">
        <v>61</v>
      </c>
      <c r="B62">
        <v>31</v>
      </c>
      <c r="C62" t="s">
        <v>119</v>
      </c>
      <c r="D62" t="s">
        <v>119</v>
      </c>
      <c r="E62" t="s">
        <v>126</v>
      </c>
      <c r="F62" t="s">
        <v>32</v>
      </c>
      <c r="G62" t="s">
        <v>127</v>
      </c>
      <c r="H62">
        <v>4</v>
      </c>
      <c r="I62">
        <v>3</v>
      </c>
      <c r="J62">
        <v>3</v>
      </c>
      <c r="K62">
        <v>3</v>
      </c>
      <c r="L62">
        <v>21</v>
      </c>
      <c r="M62">
        <v>1.2070000000000001</v>
      </c>
      <c r="N62" s="16">
        <v>9.4312727272727273</v>
      </c>
      <c r="O62">
        <v>4</v>
      </c>
      <c r="P62" s="17">
        <v>3.1415343915343921</v>
      </c>
      <c r="Q62" s="14">
        <v>38.850462590147785</v>
      </c>
      <c r="R62" s="14">
        <f>+Q62*N62</f>
        <v>366.40930826839019</v>
      </c>
      <c r="S62">
        <v>6048</v>
      </c>
      <c r="T62">
        <v>26.8</v>
      </c>
      <c r="U62" s="13">
        <v>7.5999999999999979</v>
      </c>
      <c r="V62">
        <v>0</v>
      </c>
      <c r="W62">
        <v>3</v>
      </c>
      <c r="X62">
        <v>2</v>
      </c>
      <c r="Y62">
        <v>1</v>
      </c>
      <c r="Z62">
        <v>1</v>
      </c>
      <c r="AA62">
        <v>0</v>
      </c>
      <c r="AB62">
        <v>3</v>
      </c>
      <c r="AC62">
        <v>3</v>
      </c>
      <c r="AD62">
        <v>0.8851381279362448</v>
      </c>
    </row>
    <row r="63" spans="1:30" s="13" customFormat="1" x14ac:dyDescent="0.3">
      <c r="A63">
        <v>62</v>
      </c>
      <c r="B63">
        <v>31</v>
      </c>
      <c r="C63" t="s">
        <v>119</v>
      </c>
      <c r="D63" t="s">
        <v>119</v>
      </c>
      <c r="E63" t="s">
        <v>126</v>
      </c>
      <c r="F63" t="s">
        <v>34</v>
      </c>
      <c r="G63" t="s">
        <v>128</v>
      </c>
      <c r="H63">
        <v>4</v>
      </c>
      <c r="I63">
        <v>4</v>
      </c>
      <c r="J63">
        <v>4</v>
      </c>
      <c r="K63">
        <v>4</v>
      </c>
      <c r="L63">
        <v>29</v>
      </c>
      <c r="M63" s="17">
        <v>1.2070000000000001</v>
      </c>
      <c r="N63" s="16">
        <v>9.4312727272727273</v>
      </c>
      <c r="O63">
        <v>4</v>
      </c>
      <c r="P63" s="17">
        <v>3.1415343915343921</v>
      </c>
      <c r="Q63" s="14">
        <v>38.850462590147785</v>
      </c>
      <c r="R63" s="14">
        <f>+Q63*N63</f>
        <v>366.40930826839019</v>
      </c>
      <c r="S63">
        <v>6048</v>
      </c>
      <c r="T63">
        <v>23.5</v>
      </c>
      <c r="U63" s="13">
        <v>6</v>
      </c>
      <c r="V63">
        <v>0</v>
      </c>
      <c r="W63">
        <v>3</v>
      </c>
      <c r="X63">
        <v>1</v>
      </c>
      <c r="Y63">
        <v>2</v>
      </c>
      <c r="Z63">
        <v>2</v>
      </c>
      <c r="AA63">
        <v>1</v>
      </c>
      <c r="AB63">
        <v>4</v>
      </c>
      <c r="AC63">
        <v>4</v>
      </c>
      <c r="AD63">
        <v>0.83007264816760262</v>
      </c>
    </row>
    <row r="64" spans="1:30" x14ac:dyDescent="0.3">
      <c r="A64">
        <v>63</v>
      </c>
      <c r="B64">
        <v>32</v>
      </c>
      <c r="C64" t="s">
        <v>119</v>
      </c>
      <c r="D64" t="s">
        <v>119</v>
      </c>
      <c r="E64" t="s">
        <v>129</v>
      </c>
      <c r="F64" t="s">
        <v>32</v>
      </c>
      <c r="G64" t="s">
        <v>130</v>
      </c>
      <c r="H64">
        <v>2</v>
      </c>
      <c r="I64">
        <v>4</v>
      </c>
      <c r="J64">
        <v>3</v>
      </c>
      <c r="K64">
        <v>3</v>
      </c>
      <c r="L64">
        <v>21</v>
      </c>
      <c r="M64">
        <v>1.097</v>
      </c>
      <c r="N64" s="16">
        <v>20.414666666666669</v>
      </c>
      <c r="O64">
        <v>4</v>
      </c>
      <c r="P64" s="17">
        <v>2.2317403065825072</v>
      </c>
      <c r="Q64" s="14">
        <v>13.967865872990783</v>
      </c>
      <c r="R64" s="14">
        <f>+Q64*N64</f>
        <v>285.14932584181588</v>
      </c>
      <c r="S64">
        <v>4436</v>
      </c>
      <c r="T64">
        <v>15.35</v>
      </c>
      <c r="U64" s="13">
        <v>7.8000000000000007</v>
      </c>
      <c r="V64">
        <v>0</v>
      </c>
      <c r="W64">
        <v>2</v>
      </c>
      <c r="X64">
        <v>2</v>
      </c>
      <c r="Y64">
        <v>2</v>
      </c>
      <c r="Z64">
        <v>2</v>
      </c>
      <c r="AA64">
        <v>0</v>
      </c>
      <c r="AB64">
        <v>3</v>
      </c>
      <c r="AC64">
        <v>3</v>
      </c>
      <c r="AD64">
        <v>0.8132576331173047</v>
      </c>
    </row>
    <row r="65" spans="1:30" x14ac:dyDescent="0.3">
      <c r="A65">
        <v>64</v>
      </c>
      <c r="B65">
        <v>32</v>
      </c>
      <c r="C65" t="s">
        <v>119</v>
      </c>
      <c r="D65" t="s">
        <v>119</v>
      </c>
      <c r="E65" t="s">
        <v>129</v>
      </c>
      <c r="F65" t="s">
        <v>34</v>
      </c>
      <c r="G65" t="s">
        <v>131</v>
      </c>
      <c r="H65">
        <v>2</v>
      </c>
      <c r="I65">
        <v>3</v>
      </c>
      <c r="J65">
        <v>3</v>
      </c>
      <c r="K65">
        <v>4</v>
      </c>
      <c r="L65">
        <v>23</v>
      </c>
      <c r="M65" s="17">
        <v>1.097</v>
      </c>
      <c r="N65" s="16">
        <v>20.414666666666669</v>
      </c>
      <c r="O65">
        <v>4</v>
      </c>
      <c r="P65" s="17">
        <v>2.2317403065825072</v>
      </c>
      <c r="Q65" s="14">
        <v>13.967865872990783</v>
      </c>
      <c r="R65" s="14">
        <f>+Q65*N65</f>
        <v>285.14932584181588</v>
      </c>
      <c r="S65">
        <v>4436</v>
      </c>
      <c r="T65">
        <v>15.649999999999901</v>
      </c>
      <c r="U65" s="13">
        <v>7.6000000000000014</v>
      </c>
      <c r="V65">
        <v>0</v>
      </c>
      <c r="W65">
        <v>5</v>
      </c>
      <c r="X65">
        <v>1</v>
      </c>
      <c r="Y65">
        <v>2</v>
      </c>
      <c r="Z65">
        <v>2</v>
      </c>
      <c r="AA65">
        <v>1</v>
      </c>
      <c r="AB65">
        <v>5</v>
      </c>
      <c r="AC65">
        <v>4</v>
      </c>
      <c r="AD65">
        <v>0.96384713555188339</v>
      </c>
    </row>
    <row r="66" spans="1:30" x14ac:dyDescent="0.3">
      <c r="A66">
        <v>65</v>
      </c>
      <c r="B66">
        <v>33</v>
      </c>
      <c r="C66" t="s">
        <v>119</v>
      </c>
      <c r="D66" t="s">
        <v>119</v>
      </c>
      <c r="E66" t="s">
        <v>132</v>
      </c>
      <c r="F66" t="s">
        <v>32</v>
      </c>
      <c r="G66" t="s">
        <v>133</v>
      </c>
      <c r="H66">
        <v>4</v>
      </c>
      <c r="I66">
        <v>2</v>
      </c>
      <c r="J66">
        <v>2</v>
      </c>
      <c r="K66">
        <v>2</v>
      </c>
      <c r="L66">
        <v>25</v>
      </c>
      <c r="M66">
        <v>1.161</v>
      </c>
      <c r="N66" s="16">
        <v>24.298153846153841</v>
      </c>
      <c r="O66">
        <v>4</v>
      </c>
      <c r="P66" s="17">
        <v>1.725121186199031</v>
      </c>
      <c r="Q66" s="14">
        <v>10.162661943361959</v>
      </c>
      <c r="R66" s="14">
        <f>+Q66*N66</f>
        <v>246.93392338626165</v>
      </c>
      <c r="S66">
        <v>7014</v>
      </c>
      <c r="T66">
        <v>24.2</v>
      </c>
      <c r="U66" s="13">
        <v>11.100000000000001</v>
      </c>
      <c r="V66">
        <v>0</v>
      </c>
      <c r="W66">
        <v>5</v>
      </c>
      <c r="X66">
        <v>1</v>
      </c>
      <c r="Y66">
        <v>1</v>
      </c>
      <c r="Z66">
        <v>1</v>
      </c>
      <c r="AA66">
        <v>1</v>
      </c>
      <c r="AB66">
        <v>4</v>
      </c>
      <c r="AC66">
        <v>4</v>
      </c>
      <c r="AD66">
        <v>0.97715317471817809</v>
      </c>
    </row>
    <row r="67" spans="1:30" x14ac:dyDescent="0.3">
      <c r="A67">
        <v>66</v>
      </c>
      <c r="B67">
        <v>33</v>
      </c>
      <c r="C67" t="s">
        <v>119</v>
      </c>
      <c r="D67" t="s">
        <v>119</v>
      </c>
      <c r="E67" t="s">
        <v>132</v>
      </c>
      <c r="F67" t="s">
        <v>34</v>
      </c>
      <c r="G67" t="s">
        <v>134</v>
      </c>
      <c r="H67">
        <v>4</v>
      </c>
      <c r="I67">
        <v>2</v>
      </c>
      <c r="J67">
        <v>2</v>
      </c>
      <c r="K67">
        <v>2</v>
      </c>
      <c r="L67">
        <v>21</v>
      </c>
      <c r="M67" s="17">
        <v>1.161</v>
      </c>
      <c r="N67" s="16">
        <v>24.298153846153841</v>
      </c>
      <c r="O67">
        <v>4</v>
      </c>
      <c r="P67" s="17">
        <v>1.725121186199031</v>
      </c>
      <c r="Q67" s="14">
        <v>10.162661943361959</v>
      </c>
      <c r="R67" s="14">
        <f>+Q67*N67</f>
        <v>246.93392338626165</v>
      </c>
      <c r="S67">
        <v>7014</v>
      </c>
      <c r="T67">
        <v>20.3</v>
      </c>
      <c r="U67" s="13">
        <v>10.474999999999998</v>
      </c>
      <c r="V67">
        <v>0</v>
      </c>
      <c r="W67">
        <v>2</v>
      </c>
      <c r="X67">
        <v>2</v>
      </c>
      <c r="Y67">
        <v>2</v>
      </c>
      <c r="Z67">
        <v>1</v>
      </c>
      <c r="AA67">
        <v>0</v>
      </c>
      <c r="AB67">
        <v>3</v>
      </c>
      <c r="AC67">
        <v>3</v>
      </c>
      <c r="AD67">
        <v>0.83902399067943467</v>
      </c>
    </row>
    <row r="68" spans="1:30" x14ac:dyDescent="0.3">
      <c r="A68">
        <v>67</v>
      </c>
      <c r="B68">
        <v>34</v>
      </c>
      <c r="C68" t="s">
        <v>119</v>
      </c>
      <c r="D68" t="s">
        <v>119</v>
      </c>
      <c r="E68" t="s">
        <v>135</v>
      </c>
      <c r="F68" t="s">
        <v>32</v>
      </c>
      <c r="G68" t="s">
        <v>136</v>
      </c>
      <c r="H68">
        <v>2</v>
      </c>
      <c r="I68">
        <v>3</v>
      </c>
      <c r="J68">
        <v>3</v>
      </c>
      <c r="K68">
        <v>3</v>
      </c>
      <c r="L68">
        <v>21</v>
      </c>
      <c r="M68">
        <v>1.296</v>
      </c>
      <c r="N68" s="16">
        <v>28.102846153846151</v>
      </c>
      <c r="O68">
        <v>4</v>
      </c>
      <c r="P68" s="17">
        <v>2.3993654570692051</v>
      </c>
      <c r="Q68" s="14">
        <v>18.752924871917227</v>
      </c>
      <c r="R68" s="14">
        <f>+Q68*N68</f>
        <v>527.01056261012491</v>
      </c>
      <c r="S68">
        <v>5043</v>
      </c>
      <c r="T68">
        <v>22.8</v>
      </c>
      <c r="U68" s="13">
        <v>6.3000000000000007</v>
      </c>
      <c r="V68">
        <v>1</v>
      </c>
      <c r="W68">
        <v>5</v>
      </c>
      <c r="X68">
        <v>0</v>
      </c>
      <c r="Y68">
        <v>2</v>
      </c>
      <c r="Z68">
        <v>1</v>
      </c>
      <c r="AA68">
        <v>0</v>
      </c>
      <c r="AB68">
        <v>4</v>
      </c>
      <c r="AC68">
        <v>4</v>
      </c>
      <c r="AD68">
        <v>0.92200094674855482</v>
      </c>
    </row>
    <row r="69" spans="1:30" x14ac:dyDescent="0.3">
      <c r="A69">
        <v>68</v>
      </c>
      <c r="B69">
        <v>34</v>
      </c>
      <c r="C69" t="s">
        <v>119</v>
      </c>
      <c r="D69" t="s">
        <v>119</v>
      </c>
      <c r="E69" t="s">
        <v>135</v>
      </c>
      <c r="F69" t="s">
        <v>34</v>
      </c>
      <c r="G69" t="s">
        <v>137</v>
      </c>
      <c r="H69">
        <v>2</v>
      </c>
      <c r="I69">
        <v>3</v>
      </c>
      <c r="J69">
        <v>4</v>
      </c>
      <c r="K69">
        <v>3</v>
      </c>
      <c r="L69">
        <v>22</v>
      </c>
      <c r="M69" s="17">
        <v>1.296</v>
      </c>
      <c r="N69" s="16">
        <v>28.102846153846151</v>
      </c>
      <c r="O69">
        <v>4</v>
      </c>
      <c r="P69" s="17">
        <v>2.3993654570692051</v>
      </c>
      <c r="Q69" s="14">
        <v>18.752924871917227</v>
      </c>
      <c r="R69" s="14">
        <f>+Q69*N69</f>
        <v>527.01056261012491</v>
      </c>
      <c r="S69">
        <v>5043</v>
      </c>
      <c r="T69">
        <v>22.1</v>
      </c>
      <c r="U69" s="13">
        <v>7</v>
      </c>
      <c r="V69">
        <v>0</v>
      </c>
      <c r="W69">
        <v>3</v>
      </c>
      <c r="X69">
        <v>1</v>
      </c>
      <c r="Y69">
        <v>1</v>
      </c>
      <c r="Z69">
        <v>1</v>
      </c>
      <c r="AA69">
        <v>0</v>
      </c>
      <c r="AB69">
        <v>2</v>
      </c>
      <c r="AC69">
        <v>2</v>
      </c>
      <c r="AD69">
        <v>0.81535510413526691</v>
      </c>
    </row>
    <row r="70" spans="1:30" x14ac:dyDescent="0.3">
      <c r="A70">
        <v>69</v>
      </c>
      <c r="B70">
        <v>35</v>
      </c>
      <c r="C70" t="s">
        <v>119</v>
      </c>
      <c r="D70" t="s">
        <v>119</v>
      </c>
      <c r="E70" t="s">
        <v>138</v>
      </c>
      <c r="F70" t="s">
        <v>32</v>
      </c>
      <c r="G70" t="s">
        <v>139</v>
      </c>
      <c r="H70">
        <v>3</v>
      </c>
      <c r="I70">
        <v>3</v>
      </c>
      <c r="J70">
        <v>4</v>
      </c>
      <c r="K70">
        <v>3</v>
      </c>
      <c r="L70">
        <v>19</v>
      </c>
      <c r="M70">
        <v>1.1499999999999999</v>
      </c>
      <c r="N70" s="16">
        <v>35.725999999999999</v>
      </c>
      <c r="O70">
        <v>4</v>
      </c>
      <c r="P70" s="17">
        <v>0.88046958377801487</v>
      </c>
      <c r="Q70" s="14">
        <v>5.5954653281124802</v>
      </c>
      <c r="R70" s="14">
        <f>+Q70*N70</f>
        <v>199.90359431214645</v>
      </c>
      <c r="S70">
        <v>3748</v>
      </c>
      <c r="T70">
        <v>22.6</v>
      </c>
      <c r="U70" s="13">
        <v>7.6999999999999993</v>
      </c>
      <c r="V70">
        <v>1</v>
      </c>
      <c r="W70">
        <v>3</v>
      </c>
      <c r="X70">
        <v>0</v>
      </c>
      <c r="Y70">
        <v>2</v>
      </c>
      <c r="Z70">
        <v>1</v>
      </c>
      <c r="AA70">
        <v>0</v>
      </c>
      <c r="AB70">
        <v>2</v>
      </c>
      <c r="AC70">
        <v>2</v>
      </c>
      <c r="AD70">
        <v>0.84168248433535653</v>
      </c>
    </row>
    <row r="71" spans="1:30" s="13" customFormat="1" x14ac:dyDescent="0.3">
      <c r="A71">
        <v>70</v>
      </c>
      <c r="B71">
        <v>35</v>
      </c>
      <c r="C71" t="s">
        <v>119</v>
      </c>
      <c r="D71" t="s">
        <v>119</v>
      </c>
      <c r="E71" t="s">
        <v>138</v>
      </c>
      <c r="F71" t="s">
        <v>34</v>
      </c>
      <c r="G71" t="s">
        <v>140</v>
      </c>
      <c r="H71">
        <v>3</v>
      </c>
      <c r="I71">
        <v>4</v>
      </c>
      <c r="J71">
        <v>4</v>
      </c>
      <c r="K71">
        <v>4</v>
      </c>
      <c r="L71">
        <v>17</v>
      </c>
      <c r="M71" s="17">
        <v>1.1499999999999999</v>
      </c>
      <c r="N71" s="16">
        <v>35.725999999999999</v>
      </c>
      <c r="O71">
        <v>4</v>
      </c>
      <c r="P71" s="17">
        <v>0.88046958377801487</v>
      </c>
      <c r="Q71" s="14">
        <v>5.5954653281124802</v>
      </c>
      <c r="R71" s="14">
        <f>+Q71*N71</f>
        <v>199.90359431214645</v>
      </c>
      <c r="S71">
        <v>3748</v>
      </c>
      <c r="T71">
        <v>21.6</v>
      </c>
      <c r="U71" s="13">
        <v>7.5</v>
      </c>
      <c r="V71">
        <v>1</v>
      </c>
      <c r="W71">
        <v>2</v>
      </c>
      <c r="X71">
        <v>1</v>
      </c>
      <c r="Y71">
        <v>2</v>
      </c>
      <c r="Z71">
        <v>1</v>
      </c>
      <c r="AA71">
        <v>0</v>
      </c>
      <c r="AB71">
        <v>3</v>
      </c>
      <c r="AC71">
        <v>3</v>
      </c>
      <c r="AD71">
        <v>0.8132576331173047</v>
      </c>
    </row>
    <row r="72" spans="1:30" x14ac:dyDescent="0.3">
      <c r="A72" s="13">
        <v>71</v>
      </c>
      <c r="B72" s="13">
        <v>36</v>
      </c>
      <c r="C72" s="13" t="s">
        <v>119</v>
      </c>
      <c r="D72" s="13" t="s">
        <v>141</v>
      </c>
      <c r="E72" s="13" t="s">
        <v>142</v>
      </c>
      <c r="F72" s="13" t="s">
        <v>32</v>
      </c>
      <c r="G72" s="13" t="s">
        <v>143</v>
      </c>
      <c r="H72" s="13">
        <v>4</v>
      </c>
      <c r="I72" s="13">
        <v>4</v>
      </c>
      <c r="J72" s="13">
        <v>3</v>
      </c>
      <c r="K72" s="13">
        <v>4</v>
      </c>
      <c r="L72" s="13">
        <v>17</v>
      </c>
      <c r="M72" s="13">
        <v>1.2090000000000001</v>
      </c>
      <c r="N72" s="14">
        <v>11.225428571428569</v>
      </c>
      <c r="O72" s="13">
        <v>4</v>
      </c>
      <c r="P72" s="15">
        <v>5.161442375677586</v>
      </c>
      <c r="Q72" s="14">
        <v>38.926639816494166</v>
      </c>
      <c r="R72" s="14">
        <f>+Q72*N72</f>
        <v>436.96821478578255</v>
      </c>
      <c r="S72" s="13">
        <v>8486</v>
      </c>
      <c r="T72" s="13">
        <v>28.3</v>
      </c>
      <c r="U72" s="13">
        <v>7.4000000000000021</v>
      </c>
      <c r="V72">
        <v>1</v>
      </c>
      <c r="W72">
        <v>3</v>
      </c>
      <c r="X72">
        <v>0</v>
      </c>
      <c r="Y72">
        <v>1</v>
      </c>
      <c r="Z72">
        <v>1</v>
      </c>
      <c r="AA72">
        <v>0</v>
      </c>
      <c r="AB72">
        <v>2</v>
      </c>
      <c r="AC72">
        <v>2</v>
      </c>
      <c r="AD72">
        <v>0.84168248433535653</v>
      </c>
    </row>
    <row r="73" spans="1:30" x14ac:dyDescent="0.3">
      <c r="A73" s="13">
        <v>72</v>
      </c>
      <c r="B73" s="13">
        <v>36</v>
      </c>
      <c r="C73" s="13" t="s">
        <v>119</v>
      </c>
      <c r="D73" s="13" t="s">
        <v>141</v>
      </c>
      <c r="E73" s="13" t="s">
        <v>142</v>
      </c>
      <c r="F73" s="13" t="s">
        <v>34</v>
      </c>
      <c r="G73" s="13" t="s">
        <v>144</v>
      </c>
      <c r="H73" s="13">
        <v>4</v>
      </c>
      <c r="I73" s="13">
        <v>2</v>
      </c>
      <c r="J73" s="13">
        <v>1</v>
      </c>
      <c r="K73" s="13">
        <v>2</v>
      </c>
      <c r="L73" s="13">
        <v>12</v>
      </c>
      <c r="M73" s="15">
        <v>1.2090000000000001</v>
      </c>
      <c r="N73" s="14">
        <v>11.225428571428569</v>
      </c>
      <c r="O73" s="13">
        <v>4</v>
      </c>
      <c r="P73" s="15">
        <v>5.161442375677586</v>
      </c>
      <c r="Q73" s="14">
        <v>38.926639816494166</v>
      </c>
      <c r="R73" s="14">
        <f>+Q73*N73</f>
        <v>436.96821478578255</v>
      </c>
      <c r="S73" s="13">
        <v>8486</v>
      </c>
      <c r="T73" s="13">
        <v>26.6</v>
      </c>
      <c r="U73" s="13">
        <v>9</v>
      </c>
      <c r="V73">
        <v>1</v>
      </c>
      <c r="W73">
        <v>2</v>
      </c>
      <c r="X73">
        <v>0</v>
      </c>
      <c r="Y73">
        <v>1</v>
      </c>
      <c r="Z73">
        <v>1</v>
      </c>
      <c r="AA73">
        <v>1</v>
      </c>
      <c r="AB73">
        <v>3</v>
      </c>
      <c r="AC73">
        <v>3</v>
      </c>
      <c r="AD73">
        <v>0.76240237595717042</v>
      </c>
    </row>
    <row r="74" spans="1:30" s="13" customFormat="1" x14ac:dyDescent="0.3">
      <c r="A74">
        <v>73</v>
      </c>
      <c r="B74">
        <v>37</v>
      </c>
      <c r="C74" t="s">
        <v>119</v>
      </c>
      <c r="D74" t="s">
        <v>141</v>
      </c>
      <c r="E74" t="s">
        <v>145</v>
      </c>
      <c r="F74" t="s">
        <v>32</v>
      </c>
      <c r="G74" t="s">
        <v>146</v>
      </c>
      <c r="H74">
        <v>3</v>
      </c>
      <c r="I74">
        <v>1</v>
      </c>
      <c r="J74">
        <v>1</v>
      </c>
      <c r="K74">
        <v>2</v>
      </c>
      <c r="L74">
        <v>13</v>
      </c>
      <c r="M74">
        <v>1.1990000000000001</v>
      </c>
      <c r="N74" s="16">
        <v>11.504125</v>
      </c>
      <c r="O74">
        <v>4</v>
      </c>
      <c r="P74" s="17">
        <v>1.32398753894081</v>
      </c>
      <c r="Q74" s="14">
        <v>12.008829919425233</v>
      </c>
      <c r="R74" s="14">
        <f>+Q74*N74</f>
        <v>138.15108049680782</v>
      </c>
      <c r="S74">
        <v>3852</v>
      </c>
      <c r="T74">
        <v>26.3</v>
      </c>
      <c r="U74" s="13">
        <v>9</v>
      </c>
      <c r="V74">
        <v>1</v>
      </c>
      <c r="W74">
        <v>3</v>
      </c>
      <c r="X74">
        <v>1</v>
      </c>
      <c r="Y74">
        <v>1</v>
      </c>
      <c r="Z74">
        <v>0</v>
      </c>
      <c r="AA74">
        <v>0</v>
      </c>
      <c r="AB74">
        <v>3</v>
      </c>
      <c r="AC74">
        <v>3</v>
      </c>
      <c r="AD74">
        <v>0.8569734912449154</v>
      </c>
    </row>
    <row r="75" spans="1:30" x14ac:dyDescent="0.3">
      <c r="A75">
        <v>74</v>
      </c>
      <c r="B75">
        <v>37</v>
      </c>
      <c r="C75" t="s">
        <v>119</v>
      </c>
      <c r="D75" t="s">
        <v>141</v>
      </c>
      <c r="E75" t="s">
        <v>145</v>
      </c>
      <c r="F75" t="s">
        <v>34</v>
      </c>
      <c r="G75" t="s">
        <v>147</v>
      </c>
      <c r="H75">
        <v>3</v>
      </c>
      <c r="I75">
        <v>2</v>
      </c>
      <c r="J75">
        <v>2</v>
      </c>
      <c r="K75">
        <v>3</v>
      </c>
      <c r="L75">
        <v>21</v>
      </c>
      <c r="M75" s="17">
        <v>1.1990000000000001</v>
      </c>
      <c r="N75" s="16">
        <v>11.504125</v>
      </c>
      <c r="O75">
        <v>4</v>
      </c>
      <c r="P75" s="17">
        <v>1.32398753894081</v>
      </c>
      <c r="Q75" s="14">
        <v>12.008829919425233</v>
      </c>
      <c r="R75" s="14">
        <f>+Q75*N75</f>
        <v>138.15108049680782</v>
      </c>
      <c r="S75">
        <v>3852</v>
      </c>
      <c r="T75">
        <v>21.4</v>
      </c>
      <c r="U75" s="13">
        <v>8.6999999999999993</v>
      </c>
      <c r="V75">
        <v>0</v>
      </c>
      <c r="W75">
        <v>3</v>
      </c>
      <c r="X75">
        <v>0</v>
      </c>
      <c r="Y75">
        <v>0</v>
      </c>
      <c r="Z75">
        <v>0</v>
      </c>
      <c r="AA75">
        <v>0</v>
      </c>
      <c r="AB75">
        <v>4</v>
      </c>
      <c r="AC75">
        <v>4</v>
      </c>
      <c r="AD75">
        <v>0.74288026532106699</v>
      </c>
    </row>
    <row r="76" spans="1:30" x14ac:dyDescent="0.3">
      <c r="A76">
        <v>75</v>
      </c>
      <c r="B76">
        <v>38</v>
      </c>
      <c r="C76" t="s">
        <v>119</v>
      </c>
      <c r="D76" t="s">
        <v>141</v>
      </c>
      <c r="E76" t="s">
        <v>148</v>
      </c>
      <c r="F76" t="s">
        <v>32</v>
      </c>
      <c r="G76" t="s">
        <v>149</v>
      </c>
      <c r="H76">
        <v>3</v>
      </c>
      <c r="I76">
        <v>2</v>
      </c>
      <c r="J76">
        <v>3</v>
      </c>
      <c r="K76">
        <v>3</v>
      </c>
      <c r="L76">
        <v>20</v>
      </c>
      <c r="M76">
        <v>1.4219999999999999</v>
      </c>
      <c r="N76" s="16">
        <v>22.159833333333339</v>
      </c>
      <c r="O76">
        <v>4</v>
      </c>
      <c r="P76" s="17">
        <v>1.613423685059697</v>
      </c>
      <c r="Q76" s="14">
        <v>11.03392209959223</v>
      </c>
      <c r="R76" s="14">
        <f>+Q76*N76</f>
        <v>244.50987473994726</v>
      </c>
      <c r="S76">
        <v>6198</v>
      </c>
      <c r="T76">
        <v>20.350000000000001</v>
      </c>
      <c r="U76" s="13">
        <v>8.7750000000000021</v>
      </c>
      <c r="V76">
        <v>1</v>
      </c>
      <c r="W76">
        <v>4</v>
      </c>
      <c r="X76">
        <v>0</v>
      </c>
      <c r="Y76">
        <v>0</v>
      </c>
      <c r="Z76">
        <v>0</v>
      </c>
      <c r="AA76">
        <v>0</v>
      </c>
      <c r="AB76">
        <v>4</v>
      </c>
      <c r="AC76">
        <v>4</v>
      </c>
      <c r="AD76">
        <v>0.86102600650095784</v>
      </c>
    </row>
    <row r="77" spans="1:30" x14ac:dyDescent="0.3">
      <c r="A77">
        <v>76</v>
      </c>
      <c r="B77">
        <v>38</v>
      </c>
      <c r="C77" t="s">
        <v>119</v>
      </c>
      <c r="D77" t="s">
        <v>141</v>
      </c>
      <c r="E77" t="s">
        <v>148</v>
      </c>
      <c r="F77" t="s">
        <v>34</v>
      </c>
      <c r="G77" t="s">
        <v>150</v>
      </c>
      <c r="H77">
        <v>3</v>
      </c>
      <c r="I77">
        <v>4</v>
      </c>
      <c r="J77">
        <v>3</v>
      </c>
      <c r="K77">
        <v>4</v>
      </c>
      <c r="L77">
        <v>31</v>
      </c>
      <c r="M77" s="17">
        <v>1.4219999999999999</v>
      </c>
      <c r="N77" s="16">
        <v>22.159833333333339</v>
      </c>
      <c r="O77">
        <v>4</v>
      </c>
      <c r="P77" s="17">
        <v>1.613423685059697</v>
      </c>
      <c r="Q77" s="14">
        <v>11.03392209959223</v>
      </c>
      <c r="R77" s="14">
        <f>+Q77*N77</f>
        <v>244.50987473994726</v>
      </c>
      <c r="S77">
        <v>6198</v>
      </c>
      <c r="T77">
        <v>21</v>
      </c>
      <c r="U77" s="13">
        <v>9.7999999999999989</v>
      </c>
      <c r="V77">
        <v>1</v>
      </c>
      <c r="W77">
        <v>3</v>
      </c>
      <c r="X77">
        <v>0</v>
      </c>
      <c r="Y77">
        <v>0</v>
      </c>
      <c r="Z77">
        <v>0</v>
      </c>
      <c r="AA77">
        <v>0</v>
      </c>
      <c r="AB77">
        <v>4</v>
      </c>
      <c r="AC77">
        <v>4</v>
      </c>
      <c r="AD77">
        <v>0.79370718710802213</v>
      </c>
    </row>
    <row r="78" spans="1:30" x14ac:dyDescent="0.3">
      <c r="A78">
        <v>77</v>
      </c>
      <c r="B78">
        <v>39</v>
      </c>
      <c r="C78" t="s">
        <v>119</v>
      </c>
      <c r="D78" t="s">
        <v>141</v>
      </c>
      <c r="E78" t="s">
        <v>151</v>
      </c>
      <c r="F78" t="s">
        <v>32</v>
      </c>
      <c r="G78" t="s">
        <v>152</v>
      </c>
      <c r="H78">
        <v>2</v>
      </c>
      <c r="I78">
        <v>2</v>
      </c>
      <c r="J78">
        <v>3</v>
      </c>
      <c r="K78">
        <v>3</v>
      </c>
      <c r="L78">
        <v>23</v>
      </c>
      <c r="M78">
        <v>1.0940000000000001</v>
      </c>
      <c r="N78" s="16">
        <v>26.358000000000001</v>
      </c>
      <c r="O78">
        <v>4</v>
      </c>
      <c r="P78" s="17">
        <v>1.6857720836142951</v>
      </c>
      <c r="Q78" s="14">
        <v>10.410566166655983</v>
      </c>
      <c r="R78" s="14">
        <f>+Q78*N78</f>
        <v>274.4017030207184</v>
      </c>
      <c r="S78">
        <v>2966</v>
      </c>
      <c r="T78">
        <v>20.9</v>
      </c>
      <c r="U78" s="13">
        <v>7.8000000000000007</v>
      </c>
      <c r="V78">
        <v>1</v>
      </c>
      <c r="W78">
        <v>3</v>
      </c>
      <c r="X78">
        <v>0</v>
      </c>
      <c r="Y78">
        <v>1</v>
      </c>
      <c r="Z78">
        <v>0</v>
      </c>
      <c r="AA78">
        <v>0</v>
      </c>
      <c r="AB78">
        <v>3</v>
      </c>
      <c r="AC78">
        <v>3</v>
      </c>
      <c r="AD78">
        <v>0.83632204603840277</v>
      </c>
    </row>
    <row r="79" spans="1:30" x14ac:dyDescent="0.3">
      <c r="A79">
        <v>78</v>
      </c>
      <c r="B79">
        <v>39</v>
      </c>
      <c r="C79" t="s">
        <v>119</v>
      </c>
      <c r="D79" t="s">
        <v>141</v>
      </c>
      <c r="E79" t="s">
        <v>151</v>
      </c>
      <c r="F79" t="s">
        <v>34</v>
      </c>
      <c r="G79" t="s">
        <v>153</v>
      </c>
      <c r="H79">
        <v>2</v>
      </c>
      <c r="I79">
        <v>3</v>
      </c>
      <c r="J79">
        <v>3</v>
      </c>
      <c r="K79">
        <v>3</v>
      </c>
      <c r="L79">
        <v>24</v>
      </c>
      <c r="M79" s="17">
        <v>1.0940000000000001</v>
      </c>
      <c r="N79" s="16">
        <v>26.358000000000001</v>
      </c>
      <c r="O79">
        <v>4</v>
      </c>
      <c r="P79" s="17">
        <v>1.6857720836142951</v>
      </c>
      <c r="Q79" s="14">
        <v>10.410566166655983</v>
      </c>
      <c r="R79" s="14">
        <f>+Q79*N79</f>
        <v>274.4017030207184</v>
      </c>
      <c r="S79">
        <v>2966</v>
      </c>
      <c r="T79">
        <v>24.8</v>
      </c>
      <c r="U79" s="13">
        <v>7.6999999999999993</v>
      </c>
      <c r="V79">
        <v>1</v>
      </c>
      <c r="W79">
        <v>3</v>
      </c>
      <c r="X79">
        <v>0</v>
      </c>
      <c r="Y79">
        <v>1</v>
      </c>
      <c r="Z79">
        <v>1</v>
      </c>
      <c r="AA79">
        <v>1</v>
      </c>
      <c r="AB79">
        <v>2</v>
      </c>
      <c r="AC79">
        <v>2</v>
      </c>
      <c r="AD79">
        <v>0.81535510413526691</v>
      </c>
    </row>
    <row r="80" spans="1:30" x14ac:dyDescent="0.3">
      <c r="A80" s="13">
        <v>79</v>
      </c>
      <c r="B80" s="13">
        <v>40</v>
      </c>
      <c r="C80" s="13" t="s">
        <v>154</v>
      </c>
      <c r="D80" s="13" t="s">
        <v>154</v>
      </c>
      <c r="E80" s="13" t="s">
        <v>155</v>
      </c>
      <c r="F80" s="13" t="s">
        <v>32</v>
      </c>
      <c r="G80" s="13" t="s">
        <v>156</v>
      </c>
      <c r="H80" s="13">
        <v>3</v>
      </c>
      <c r="I80" s="13">
        <v>2</v>
      </c>
      <c r="J80" s="13">
        <v>3</v>
      </c>
      <c r="K80" s="13">
        <v>2</v>
      </c>
      <c r="L80" s="13">
        <v>21</v>
      </c>
      <c r="M80" s="13">
        <v>1.6639999999999999</v>
      </c>
      <c r="N80" s="14">
        <v>118.4726666666667</v>
      </c>
      <c r="O80" s="13">
        <v>4</v>
      </c>
      <c r="P80" s="15">
        <v>8.6051114361930997E-2</v>
      </c>
      <c r="Q80" s="14">
        <v>0.80922157145486007</v>
      </c>
      <c r="R80" s="14">
        <f>+Q80*N80</f>
        <v>95.870637494447848</v>
      </c>
      <c r="S80" s="13">
        <v>11621</v>
      </c>
      <c r="T80" s="13">
        <v>20.9</v>
      </c>
      <c r="U80" s="13">
        <v>6.2000000000000028</v>
      </c>
      <c r="V80">
        <v>1</v>
      </c>
      <c r="W80">
        <v>4</v>
      </c>
      <c r="X80">
        <v>0</v>
      </c>
      <c r="Y80">
        <v>1</v>
      </c>
      <c r="Z80">
        <v>0</v>
      </c>
      <c r="AA80">
        <v>0</v>
      </c>
      <c r="AB80">
        <v>5</v>
      </c>
      <c r="AC80">
        <v>5</v>
      </c>
      <c r="AD80">
        <v>0.85243753592107896</v>
      </c>
    </row>
    <row r="81" spans="1:30" s="13" customFormat="1" x14ac:dyDescent="0.3">
      <c r="A81" s="13">
        <v>80</v>
      </c>
      <c r="B81" s="13">
        <v>40</v>
      </c>
      <c r="C81" s="13" t="s">
        <v>154</v>
      </c>
      <c r="D81" s="13" t="s">
        <v>154</v>
      </c>
      <c r="E81" s="13" t="s">
        <v>155</v>
      </c>
      <c r="F81" s="13" t="s">
        <v>34</v>
      </c>
      <c r="G81" s="13" t="s">
        <v>157</v>
      </c>
      <c r="H81" s="13">
        <v>3</v>
      </c>
      <c r="I81" s="13">
        <v>4</v>
      </c>
      <c r="J81" s="13">
        <v>3</v>
      </c>
      <c r="K81" s="13">
        <v>2</v>
      </c>
      <c r="L81" s="13">
        <v>26</v>
      </c>
      <c r="M81" s="15">
        <v>1.6639999999999999</v>
      </c>
      <c r="N81" s="14">
        <v>118.4726666666667</v>
      </c>
      <c r="O81" s="13">
        <v>4</v>
      </c>
      <c r="P81" s="15">
        <v>8.6051114361930997E-2</v>
      </c>
      <c r="Q81" s="14">
        <v>0.80922157145486007</v>
      </c>
      <c r="R81" s="14">
        <f>+Q81*N81</f>
        <v>95.870637494447848</v>
      </c>
      <c r="S81" s="13">
        <v>11621</v>
      </c>
      <c r="T81" s="13">
        <v>18.600000000000001</v>
      </c>
      <c r="U81" s="13">
        <v>8.1999999999999993</v>
      </c>
      <c r="V81">
        <v>1</v>
      </c>
      <c r="W81">
        <v>4</v>
      </c>
      <c r="X81">
        <v>1</v>
      </c>
      <c r="Y81">
        <v>1</v>
      </c>
      <c r="Z81">
        <v>0</v>
      </c>
      <c r="AA81">
        <v>0</v>
      </c>
      <c r="AB81">
        <v>3</v>
      </c>
      <c r="AC81">
        <v>3</v>
      </c>
      <c r="AD81">
        <v>0.88972746611742837</v>
      </c>
    </row>
    <row r="82" spans="1:30" x14ac:dyDescent="0.3">
      <c r="A82">
        <v>81</v>
      </c>
      <c r="B82">
        <v>41</v>
      </c>
      <c r="C82" t="s">
        <v>154</v>
      </c>
      <c r="D82" t="s">
        <v>154</v>
      </c>
      <c r="E82" t="s">
        <v>158</v>
      </c>
      <c r="F82" t="s">
        <v>32</v>
      </c>
      <c r="G82" t="s">
        <v>159</v>
      </c>
      <c r="H82">
        <v>2</v>
      </c>
      <c r="I82">
        <v>2</v>
      </c>
      <c r="J82">
        <v>3</v>
      </c>
      <c r="K82">
        <v>4</v>
      </c>
      <c r="L82">
        <v>25</v>
      </c>
      <c r="M82">
        <v>1.3340000000000001</v>
      </c>
      <c r="N82" s="16">
        <v>89.464124999999996</v>
      </c>
      <c r="O82">
        <v>4</v>
      </c>
      <c r="P82" s="17">
        <v>0.15109890109890109</v>
      </c>
      <c r="Q82" s="14">
        <v>1.894721867333115</v>
      </c>
      <c r="R82" s="14">
        <f>+Q82*N82</f>
        <v>169.50963397932321</v>
      </c>
      <c r="S82">
        <v>7280</v>
      </c>
      <c r="T82">
        <v>19.100000000000001</v>
      </c>
      <c r="U82" s="13">
        <v>9.4000000000000021</v>
      </c>
      <c r="V82">
        <v>1</v>
      </c>
      <c r="W82">
        <v>4</v>
      </c>
      <c r="X82">
        <v>0</v>
      </c>
      <c r="Y82">
        <v>0</v>
      </c>
      <c r="Z82">
        <v>0</v>
      </c>
      <c r="AA82">
        <v>0</v>
      </c>
      <c r="AB82">
        <v>3</v>
      </c>
      <c r="AC82">
        <v>3</v>
      </c>
      <c r="AD82">
        <v>0.85271729005438479</v>
      </c>
    </row>
    <row r="83" spans="1:30" x14ac:dyDescent="0.3">
      <c r="A83">
        <v>82</v>
      </c>
      <c r="B83">
        <v>41</v>
      </c>
      <c r="C83" t="s">
        <v>154</v>
      </c>
      <c r="D83" t="s">
        <v>154</v>
      </c>
      <c r="E83" t="s">
        <v>158</v>
      </c>
      <c r="F83" t="s">
        <v>34</v>
      </c>
      <c r="G83" t="s">
        <v>160</v>
      </c>
      <c r="H83">
        <v>2</v>
      </c>
      <c r="I83">
        <v>2</v>
      </c>
      <c r="J83">
        <v>3</v>
      </c>
      <c r="K83">
        <v>3</v>
      </c>
      <c r="L83">
        <v>23</v>
      </c>
      <c r="M83" s="17">
        <v>1.3340000000000001</v>
      </c>
      <c r="N83" s="16">
        <v>89.464124999999996</v>
      </c>
      <c r="O83">
        <v>3</v>
      </c>
      <c r="P83" s="17">
        <v>0.15109890109890109</v>
      </c>
      <c r="Q83" s="14">
        <v>1.894721867333115</v>
      </c>
      <c r="R83" s="14">
        <f>+Q83*N83</f>
        <v>169.50963397932321</v>
      </c>
      <c r="S83">
        <v>7280</v>
      </c>
      <c r="T83">
        <v>17.8</v>
      </c>
      <c r="U83" s="13">
        <v>7.8000000000000007</v>
      </c>
      <c r="V83">
        <v>1</v>
      </c>
      <c r="W83">
        <v>5</v>
      </c>
      <c r="X83">
        <v>0</v>
      </c>
      <c r="Y83">
        <v>1</v>
      </c>
      <c r="Z83">
        <v>1</v>
      </c>
      <c r="AA83">
        <v>0</v>
      </c>
      <c r="AB83">
        <v>5</v>
      </c>
      <c r="AC83">
        <v>5</v>
      </c>
      <c r="AD83">
        <v>0.89928490882842171</v>
      </c>
    </row>
    <row r="84" spans="1:30" x14ac:dyDescent="0.3">
      <c r="A84">
        <v>83</v>
      </c>
      <c r="B84">
        <v>42</v>
      </c>
      <c r="C84" t="s">
        <v>154</v>
      </c>
      <c r="D84" t="s">
        <v>154</v>
      </c>
      <c r="E84" t="s">
        <v>161</v>
      </c>
      <c r="F84" t="s">
        <v>32</v>
      </c>
      <c r="G84" t="s">
        <v>162</v>
      </c>
      <c r="H84">
        <v>2</v>
      </c>
      <c r="I84">
        <v>2</v>
      </c>
      <c r="J84">
        <v>3</v>
      </c>
      <c r="K84">
        <v>3</v>
      </c>
      <c r="L84">
        <v>21</v>
      </c>
      <c r="M84">
        <v>1.181</v>
      </c>
      <c r="N84" s="16">
        <v>118.6962222222222</v>
      </c>
      <c r="O84">
        <v>4</v>
      </c>
      <c r="P84" s="17">
        <v>0.1300082732537525</v>
      </c>
      <c r="Q84" s="14">
        <v>1.270335918902147</v>
      </c>
      <c r="R84" s="14">
        <f>+Q84*N84</f>
        <v>150.78407452688009</v>
      </c>
      <c r="S84">
        <v>8461</v>
      </c>
      <c r="T84">
        <v>17.600000000000001</v>
      </c>
      <c r="U84" s="13">
        <v>9.9249999999999989</v>
      </c>
      <c r="V84">
        <v>0</v>
      </c>
      <c r="W84">
        <v>2</v>
      </c>
      <c r="X84">
        <v>1</v>
      </c>
      <c r="Y84">
        <v>1</v>
      </c>
      <c r="Z84">
        <v>1</v>
      </c>
      <c r="AA84">
        <v>1</v>
      </c>
      <c r="AB84">
        <v>3</v>
      </c>
      <c r="AC84">
        <v>3</v>
      </c>
      <c r="AD84">
        <v>0.77335803344422738</v>
      </c>
    </row>
    <row r="85" spans="1:30" s="13" customFormat="1" x14ac:dyDescent="0.3">
      <c r="A85">
        <v>84</v>
      </c>
      <c r="B85">
        <v>42</v>
      </c>
      <c r="C85" t="s">
        <v>154</v>
      </c>
      <c r="D85" t="s">
        <v>154</v>
      </c>
      <c r="E85" t="s">
        <v>161</v>
      </c>
      <c r="F85" t="s">
        <v>34</v>
      </c>
      <c r="G85" t="s">
        <v>163</v>
      </c>
      <c r="H85">
        <v>2</v>
      </c>
      <c r="I85">
        <v>3</v>
      </c>
      <c r="J85">
        <v>2</v>
      </c>
      <c r="K85">
        <v>3</v>
      </c>
      <c r="L85">
        <v>20</v>
      </c>
      <c r="M85" s="17">
        <v>1.181</v>
      </c>
      <c r="N85" s="16">
        <v>118.6962222222222</v>
      </c>
      <c r="O85">
        <v>4</v>
      </c>
      <c r="P85" s="17">
        <v>0.1300082732537525</v>
      </c>
      <c r="Q85" s="14">
        <v>1.270335918902147</v>
      </c>
      <c r="R85" s="14">
        <f>+Q85*N85</f>
        <v>150.78407452688009</v>
      </c>
      <c r="S85">
        <v>8461</v>
      </c>
      <c r="T85">
        <v>17.7</v>
      </c>
      <c r="U85" s="13">
        <v>9.0250000000000998</v>
      </c>
      <c r="V85">
        <v>0</v>
      </c>
      <c r="W85">
        <v>5</v>
      </c>
      <c r="X85">
        <v>1</v>
      </c>
      <c r="Y85">
        <v>2</v>
      </c>
      <c r="Z85">
        <v>1</v>
      </c>
      <c r="AA85">
        <v>1</v>
      </c>
      <c r="AB85">
        <v>4</v>
      </c>
      <c r="AC85">
        <v>4</v>
      </c>
      <c r="AD85">
        <v>0.90643089254365639</v>
      </c>
    </row>
    <row r="86" spans="1:30" x14ac:dyDescent="0.3">
      <c r="A86">
        <v>85</v>
      </c>
      <c r="B86">
        <v>43</v>
      </c>
      <c r="C86" t="s">
        <v>154</v>
      </c>
      <c r="D86" t="s">
        <v>154</v>
      </c>
      <c r="E86" t="s">
        <v>164</v>
      </c>
      <c r="F86" t="s">
        <v>32</v>
      </c>
      <c r="G86" t="s">
        <v>165</v>
      </c>
      <c r="H86">
        <v>1</v>
      </c>
      <c r="I86">
        <v>3</v>
      </c>
      <c r="J86">
        <v>2</v>
      </c>
      <c r="K86">
        <v>2</v>
      </c>
      <c r="L86">
        <v>18</v>
      </c>
      <c r="M86">
        <v>1.8160000000000001</v>
      </c>
      <c r="N86" s="16">
        <v>106.4197777777778</v>
      </c>
      <c r="O86">
        <v>4</v>
      </c>
      <c r="P86" s="17">
        <v>0.16700686583781779</v>
      </c>
      <c r="Q86" s="14">
        <v>1.8546518840091331</v>
      </c>
      <c r="R86" s="14">
        <f>+Q86*N86</f>
        <v>197.37164135138886</v>
      </c>
      <c r="S86">
        <v>10778</v>
      </c>
      <c r="T86">
        <v>25.6</v>
      </c>
      <c r="U86" s="13">
        <v>8.6999999999999993</v>
      </c>
      <c r="V86">
        <v>0</v>
      </c>
      <c r="W86">
        <v>4</v>
      </c>
      <c r="X86">
        <v>1</v>
      </c>
      <c r="Y86">
        <v>1</v>
      </c>
      <c r="Z86">
        <v>0</v>
      </c>
      <c r="AA86">
        <v>1</v>
      </c>
      <c r="AB86">
        <v>5</v>
      </c>
      <c r="AC86">
        <v>5</v>
      </c>
      <c r="AD86">
        <v>0.85422046430789966</v>
      </c>
    </row>
    <row r="87" spans="1:30" x14ac:dyDescent="0.3">
      <c r="A87">
        <v>86</v>
      </c>
      <c r="B87">
        <v>43</v>
      </c>
      <c r="C87" t="s">
        <v>154</v>
      </c>
      <c r="D87" t="s">
        <v>154</v>
      </c>
      <c r="E87" t="s">
        <v>164</v>
      </c>
      <c r="F87" t="s">
        <v>34</v>
      </c>
      <c r="G87" t="s">
        <v>166</v>
      </c>
      <c r="H87">
        <v>1</v>
      </c>
      <c r="I87">
        <v>2</v>
      </c>
      <c r="J87">
        <v>3</v>
      </c>
      <c r="K87">
        <v>4</v>
      </c>
      <c r="L87">
        <v>24</v>
      </c>
      <c r="M87" s="17">
        <v>1.8160000000000001</v>
      </c>
      <c r="N87" s="16">
        <v>106.4197777777778</v>
      </c>
      <c r="O87">
        <v>4</v>
      </c>
      <c r="P87" s="17">
        <v>0.16700686583781779</v>
      </c>
      <c r="Q87" s="14">
        <v>1.8546518840091331</v>
      </c>
      <c r="R87" s="14">
        <f>+Q87*N87</f>
        <v>197.37164135138886</v>
      </c>
      <c r="S87">
        <v>10778</v>
      </c>
      <c r="T87">
        <v>22.1</v>
      </c>
      <c r="U87" s="13">
        <v>6.8999999999999986</v>
      </c>
      <c r="V87">
        <v>0</v>
      </c>
      <c r="W87">
        <v>4</v>
      </c>
      <c r="X87">
        <v>0</v>
      </c>
      <c r="Y87">
        <v>1</v>
      </c>
      <c r="Z87">
        <v>0</v>
      </c>
      <c r="AA87">
        <v>1</v>
      </c>
      <c r="AB87">
        <v>4</v>
      </c>
      <c r="AC87">
        <v>4</v>
      </c>
      <c r="AD87">
        <v>0.81679993540229934</v>
      </c>
    </row>
    <row r="88" spans="1:30" x14ac:dyDescent="0.3">
      <c r="A88">
        <v>87</v>
      </c>
      <c r="B88">
        <v>44</v>
      </c>
      <c r="C88" t="s">
        <v>154</v>
      </c>
      <c r="D88" t="s">
        <v>154</v>
      </c>
      <c r="E88" t="s">
        <v>167</v>
      </c>
      <c r="F88" t="s">
        <v>32</v>
      </c>
      <c r="G88" t="s">
        <v>168</v>
      </c>
      <c r="H88">
        <v>2</v>
      </c>
      <c r="I88">
        <v>3</v>
      </c>
      <c r="J88">
        <v>2</v>
      </c>
      <c r="K88">
        <v>3</v>
      </c>
      <c r="L88">
        <v>18</v>
      </c>
      <c r="M88">
        <v>1.2849999999999999</v>
      </c>
      <c r="N88" s="16">
        <v>119.5061</v>
      </c>
      <c r="O88">
        <v>4</v>
      </c>
      <c r="P88" s="17">
        <v>0.80893682588597837</v>
      </c>
      <c r="Q88" s="14">
        <v>8.0037220554662909</v>
      </c>
      <c r="R88" s="14">
        <f>+Q88*N88</f>
        <v>956.49360833276012</v>
      </c>
      <c r="S88">
        <v>7788</v>
      </c>
      <c r="T88">
        <v>24.6</v>
      </c>
      <c r="U88" s="13">
        <v>6.9000000000000021</v>
      </c>
      <c r="V88">
        <v>0</v>
      </c>
      <c r="W88">
        <v>5</v>
      </c>
      <c r="X88">
        <v>1</v>
      </c>
      <c r="Y88">
        <v>1</v>
      </c>
      <c r="Z88">
        <v>1</v>
      </c>
      <c r="AA88">
        <v>0</v>
      </c>
      <c r="AB88">
        <v>4</v>
      </c>
      <c r="AC88">
        <v>4</v>
      </c>
      <c r="AD88">
        <v>0.8748267922070232</v>
      </c>
    </row>
    <row r="89" spans="1:30" x14ac:dyDescent="0.3">
      <c r="A89">
        <v>88</v>
      </c>
      <c r="B89">
        <v>44</v>
      </c>
      <c r="C89" t="s">
        <v>154</v>
      </c>
      <c r="D89" t="s">
        <v>154</v>
      </c>
      <c r="E89" t="s">
        <v>167</v>
      </c>
      <c r="F89" t="s">
        <v>34</v>
      </c>
      <c r="G89" t="s">
        <v>169</v>
      </c>
      <c r="H89">
        <v>2</v>
      </c>
      <c r="I89">
        <v>3</v>
      </c>
      <c r="J89">
        <v>3</v>
      </c>
      <c r="K89">
        <v>3</v>
      </c>
      <c r="L89">
        <v>22</v>
      </c>
      <c r="M89" s="17">
        <v>1.2849999999999999</v>
      </c>
      <c r="N89" s="16">
        <v>119.5061</v>
      </c>
      <c r="O89">
        <v>4</v>
      </c>
      <c r="P89" s="17">
        <v>0.80893682588597837</v>
      </c>
      <c r="Q89" s="14">
        <v>8.0037220554662909</v>
      </c>
      <c r="R89" s="14">
        <f>+Q89*N89</f>
        <v>956.49360833276012</v>
      </c>
      <c r="S89">
        <v>7788</v>
      </c>
      <c r="T89">
        <v>19.5</v>
      </c>
      <c r="U89" s="13">
        <v>7.5</v>
      </c>
      <c r="V89">
        <v>0</v>
      </c>
      <c r="W89">
        <v>5</v>
      </c>
      <c r="X89">
        <v>1</v>
      </c>
      <c r="Y89">
        <v>1</v>
      </c>
      <c r="Z89">
        <v>1</v>
      </c>
      <c r="AA89">
        <v>0</v>
      </c>
      <c r="AB89">
        <v>3</v>
      </c>
      <c r="AC89">
        <v>3</v>
      </c>
      <c r="AD89">
        <v>0.91324740958771944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Del Hoyo Gibaja</dc:creator>
  <cp:lastModifiedBy>Javier Del Hoyo Gibaja</cp:lastModifiedBy>
  <dcterms:created xsi:type="dcterms:W3CDTF">2025-12-26T12:17:35Z</dcterms:created>
  <dcterms:modified xsi:type="dcterms:W3CDTF">2025-12-26T12:17:51Z</dcterms:modified>
</cp:coreProperties>
</file>